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C:\Users\j2kan\Desktop\"/>
    </mc:Choice>
  </mc:AlternateContent>
  <bookViews>
    <workbookView xWindow="0" yWindow="0" windowWidth="21600" windowHeight="9885" activeTab="1"/>
  </bookViews>
  <sheets>
    <sheet name="User Preferences" sheetId="3" r:id="rId1"/>
    <sheet name="HistoricalData" sheetId="5" r:id="rId2"/>
  </sheets>
  <functionGroups builtInGroupCount="18"/>
  <definedNames>
    <definedName name="_xlnm._FilterDatabase" localSheetId="1" hidden="1">HistoricalData!$A$2:$C$2</definedName>
    <definedName name="AAPL" localSheetId="1">HistoricalData!$D$2:$E$251</definedName>
    <definedName name="aapl_1" localSheetId="1">HistoricalData!$D$2:$E$251</definedName>
    <definedName name="aapl_10" localSheetId="1">HistoricalData!$A$2:$C$252</definedName>
    <definedName name="aapl_11" localSheetId="1">HistoricalData!$A$2:$C$252</definedName>
    <definedName name="aapl_12" localSheetId="1">HistoricalData!$A$2:$C$253</definedName>
    <definedName name="aapl_13" localSheetId="1">HistoricalData!$A$2:$C$253</definedName>
    <definedName name="aapl_14" localSheetId="1">HistoricalData!$A$2:$C$253</definedName>
    <definedName name="aapl_15" localSheetId="1">HistoricalData!$A$2:$C$253</definedName>
    <definedName name="aapl_16" localSheetId="1">HistoricalData!$A$2:$C$253</definedName>
    <definedName name="aapl_17" localSheetId="1">HistoricalData!$A$2:$C$253</definedName>
    <definedName name="aapl_2" localSheetId="1">HistoricalData!$D$2:$E$251</definedName>
    <definedName name="aapl_3" localSheetId="1">HistoricalData!$D$2:$E$252</definedName>
    <definedName name="aapl_4" localSheetId="1">HistoricalData!$D$2:$E$252</definedName>
    <definedName name="aapl_5" localSheetId="1">HistoricalData!$D$2:$E$252</definedName>
    <definedName name="aapl_6" localSheetId="1">HistoricalData!$A$2:$C$252</definedName>
    <definedName name="aapl_7" localSheetId="1">HistoricalData!$A$2:$C$252</definedName>
    <definedName name="aapl_8" localSheetId="1">HistoricalData!$A$2:$C$252</definedName>
    <definedName name="aapl_9" localSheetId="1">HistoricalData!$A$2:$C$252</definedName>
    <definedName name="GOOG" localSheetId="1">HistoricalData!$D$2:$D$247</definedName>
    <definedName name="GOOG_1" localSheetId="1">HistoricalData!$D$2:$D$247</definedName>
    <definedName name="GOOG_10" localSheetId="1">HistoricalData!$A$2:$C$248</definedName>
    <definedName name="GOOG_11" localSheetId="1">HistoricalData!$A$2:$C$249</definedName>
    <definedName name="goog_12" localSheetId="1">HistoricalData!$A$2:$C$249</definedName>
    <definedName name="GOOG_2" localSheetId="1">HistoricalData!$D$2:$E$247</definedName>
    <definedName name="GOOG_3" localSheetId="1">HistoricalData!$D$2:$E$247</definedName>
    <definedName name="GOOG_4" localSheetId="1">HistoricalData!$D$2:$E$247</definedName>
    <definedName name="GOOG_5" localSheetId="1">HistoricalData!$A$2:$C$248</definedName>
    <definedName name="GOOG_6" localSheetId="1">HistoricalData!$A$2:$C$248</definedName>
    <definedName name="GOOG_7" localSheetId="1">HistoricalData!$A$2:$C$248</definedName>
    <definedName name="GOOG_8" localSheetId="1">HistoricalData!$A$2:$C$248</definedName>
    <definedName name="GOOG_9" localSheetId="1">HistoricalData!$A$2:$C$248</definedName>
    <definedName name="historical?q_NASDAQ_3AYhoo_start_123_num_30" localSheetId="1">HistoricalData!$D$114:$I$140</definedName>
    <definedName name="historical?q_NASDAQ_3AYhoo_start_123_num_30__1" localSheetId="1">HistoricalData!#REF!</definedName>
    <definedName name="historical?q_NASDAQ_3AYhoo_start_123_num_30__2" localSheetId="1">HistoricalData!$D$111:$I$136</definedName>
    <definedName name="historical?q_NASDAQ_3AYhoo_start_123_num_30__3" localSheetId="1">HistoricalData!$D$117:$I$144</definedName>
    <definedName name="historical?q_NASDAQ_3AYhoo_start_123_num_30__4" localSheetId="1">HistoricalData!$D$120:$I$148</definedName>
    <definedName name="historical?q_NASDAQ_3AYhoo_start_123_num_30__5" localSheetId="1">HistoricalData!$D$123:$I$152</definedName>
    <definedName name="historical?q_NASDAQ_3AYhoo_start_154_num_30" localSheetId="1">HistoricalData!$D$141:$I$167</definedName>
    <definedName name="historical?q_NASDAQ_3AYhoo_start_154_num_30__1" localSheetId="1">HistoricalData!#REF!</definedName>
    <definedName name="historical?q_NASDAQ_3AYhoo_start_154_num_30__2" localSheetId="1">HistoricalData!$D$137:$I$162</definedName>
    <definedName name="historical?q_NASDAQ_3AYhoo_start_154_num_30__3" localSheetId="1">HistoricalData!$D$145:$I$172</definedName>
    <definedName name="historical?q_NASDAQ_3AYhoo_start_154_num_30__4" localSheetId="1">HistoricalData!$D$149:$I$177</definedName>
    <definedName name="historical?q_NASDAQ_3AYhoo_start_154_num_30__5" localSheetId="1">HistoricalData!$D$153:$I$182</definedName>
    <definedName name="historical?q_NASDAQ_3AYhoo_start_185_num_30" localSheetId="1">HistoricalData!$D$168:$I$194</definedName>
    <definedName name="historical?q_NASDAQ_3AYhoo_start_185_num_30__1" localSheetId="1">HistoricalData!#REF!</definedName>
    <definedName name="historical?q_NASDAQ_3AYhoo_start_185_num_30__2" localSheetId="1">HistoricalData!$D$163:$I$188</definedName>
    <definedName name="historical?q_NASDAQ_3AYhoo_start_185_num_30__3" localSheetId="1">HistoricalData!$D$173:$I$200</definedName>
    <definedName name="historical?q_NASDAQ_3AYhoo_start_185_num_30__4" localSheetId="1">HistoricalData!$D$178:$I$206</definedName>
    <definedName name="historical?q_NASDAQ_3AYhoo_start_185_num_30__5" localSheetId="1">HistoricalData!$D$183:$I$212</definedName>
    <definedName name="historical?q_NASDAQ_3AYhoo_start_216_num_30" localSheetId="1">HistoricalData!$D$195:$I$221</definedName>
    <definedName name="historical?q_NASDAQ_3AYhoo_start_216_num_30__1" localSheetId="1">HistoricalData!#REF!</definedName>
    <definedName name="historical?q_NASDAQ_3AYhoo_start_216_num_30__2" localSheetId="1">HistoricalData!$D$189:$I$214</definedName>
    <definedName name="historical?q_NASDAQ_3AYhoo_start_216_num_30__3" localSheetId="1">HistoricalData!$D$201:$I$228</definedName>
    <definedName name="historical?q_NASDAQ_3AYhoo_start_216_num_30__4" localSheetId="1">HistoricalData!$D$207:$I$235</definedName>
    <definedName name="historical?q_NASDAQ_3AYhoo_start_216_num_30__5" localSheetId="1">HistoricalData!$D$213:$I$242</definedName>
    <definedName name="historical?q_NASDAQ_3AYhoo_start_247_num_30" localSheetId="1">HistoricalData!$D$222:$I$223</definedName>
    <definedName name="historical?q_NASDAQ_3AYhoo_start_247_num_30__1" localSheetId="1">HistoricalData!#REF!</definedName>
    <definedName name="historical?q_NASDAQ_3AYhoo_start_247_num_30__2" localSheetId="1">HistoricalData!$D$215:$I$216</definedName>
    <definedName name="historical?q_NASDAQ_3AYhoo_start_247_num_30__3" localSheetId="1">HistoricalData!$D$229:$I$230</definedName>
    <definedName name="historical?q_NASDAQ_3AYhoo_start_247_num_30__4" localSheetId="1">HistoricalData!$D$236:$I$238</definedName>
    <definedName name="historical?q_NASDAQ_3AYhoo_start_247_num_30__5" localSheetId="1">HistoricalData!$D$243:$I$245</definedName>
    <definedName name="historical?q_NASDAQ_3AYhoo_start_278_num_30" localSheetId="1">HistoricalData!$D$224:$D$225</definedName>
    <definedName name="historical?q_NASDAQ_3AYhoo_start_278_num_30__1" localSheetId="1">HistoricalData!$D$2:$D$3</definedName>
    <definedName name="historical?q_NASDAQ_3AYhoo_start_278_num_30__2" localSheetId="1">HistoricalData!$D$217:$D$218</definedName>
    <definedName name="historical?q_NASDAQ_3AYhoo_start_278_num_30__3" localSheetId="1">HistoricalData!$D$231:$D$232</definedName>
    <definedName name="historical?q_NASDAQ_3AYhoo_start_278_num_30__4" localSheetId="1">HistoricalData!$D$239:$D$240</definedName>
    <definedName name="historical?q_NASDAQ_3AYhoo_start_278_num_30__5" localSheetId="1">HistoricalData!$D$246:$D$247</definedName>
    <definedName name="historical?q_NASDAQ_3AYhoo_start_30_num_30" localSheetId="1">HistoricalData!$D$33:$I$59</definedName>
    <definedName name="historical?q_NASDAQ_3AYhoo_start_30_num_30__1" localSheetId="1">HistoricalData!#REF!</definedName>
    <definedName name="historical?q_NASDAQ_3AYhoo_start_30_num_30__2" localSheetId="1">HistoricalData!$D$33:$I$58</definedName>
    <definedName name="historical?q_NASDAQ_3AYhoo_start_30_num_30__3" localSheetId="1">HistoricalData!$D$33:$I$60</definedName>
    <definedName name="historical?q_NASDAQ_3AYhoo_start_30_num_30__4" localSheetId="1">HistoricalData!$D$33:$I$61</definedName>
    <definedName name="historical?q_NASDAQ_3AYhoo_start_30_num_30__5" localSheetId="1">HistoricalData!$D$33:$I$62</definedName>
    <definedName name="historical?q_NASDAQ_3AYhoo_start_61_num_30" localSheetId="1">HistoricalData!$D$60:$I$86</definedName>
    <definedName name="historical?q_NASDAQ_3AYhoo_start_61_num_30__1" localSheetId="1">HistoricalData!#REF!</definedName>
    <definedName name="historical?q_NASDAQ_3AYhoo_start_61_num_30__2" localSheetId="1">HistoricalData!$D$59:$I$84</definedName>
    <definedName name="historical?q_NASDAQ_3AYhoo_start_61_num_30__3" localSheetId="1">HistoricalData!$D$61:$I$88</definedName>
    <definedName name="historical?q_NASDAQ_3AYhoo_start_61_num_30__4" localSheetId="1">HistoricalData!$D$62:$I$90</definedName>
    <definedName name="historical?q_NASDAQ_3AYhoo_start_61_num_30__5" localSheetId="1">HistoricalData!$D$63:$I$92</definedName>
    <definedName name="historical?q_NASDAQ_3AYhoo_start_92_num_30" localSheetId="1">HistoricalData!$D$87:$I$113</definedName>
    <definedName name="historical?q_NASDAQ_3AYhoo_start_92_num_30__1" localSheetId="1">HistoricalData!#REF!</definedName>
    <definedName name="historical?q_NASDAQ_3AYhoo_start_92_num_30__2" localSheetId="1">HistoricalData!$D$85:$I$110</definedName>
    <definedName name="historical?q_NASDAQ_3AYhoo_start_92_num_30__3" localSheetId="1">HistoricalData!$D$89:$I$116</definedName>
    <definedName name="historical?q_NASDAQ_3AYhoo_start_92_num_30__4" localSheetId="1">HistoricalData!$D$91:$I$119</definedName>
    <definedName name="historical?q_NASDAQ_3AYhoo_start_92_num_30__5" localSheetId="1">HistoricalData!$D$93:$I$122</definedName>
    <definedName name="solver_adj" localSheetId="1" hidden="1">HistoricalData!$E$2:$J$7</definedName>
    <definedName name="solver_adj" localSheetId="0" hidden="1">'User Preferences'!$M$2:$M$11</definedName>
    <definedName name="solver_cvg" localSheetId="1" hidden="1">0.0001</definedName>
    <definedName name="solver_cvg" localSheetId="0" hidden="1">0.0001</definedName>
    <definedName name="solver_drv" localSheetId="1" hidden="1">2</definedName>
    <definedName name="solver_drv" localSheetId="0" hidden="1">1</definedName>
    <definedName name="solver_eng" localSheetId="1" hidden="1">1</definedName>
    <definedName name="solver_eng" localSheetId="0" hidden="1">2</definedName>
    <definedName name="solver_est" localSheetId="1" hidden="1">1</definedName>
    <definedName name="solver_est" localSheetId="0" hidden="1">1</definedName>
    <definedName name="solver_itr" localSheetId="1" hidden="1">2147483647</definedName>
    <definedName name="solver_itr" localSheetId="0" hidden="1">2147483647</definedName>
    <definedName name="solver_lhs1" localSheetId="0" hidden="1">'User Preferences'!$M$2:$M$11</definedName>
    <definedName name="solver_lhs10" localSheetId="0" hidden="1">'User Preferences'!$M$11</definedName>
    <definedName name="solver_lhs100" localSheetId="0" hidden="1">'User Preferences'!$M$6</definedName>
    <definedName name="solver_lhs101" localSheetId="0" hidden="1">'User Preferences'!$M$7</definedName>
    <definedName name="solver_lhs102" localSheetId="0" hidden="1">'User Preferences'!$M$8</definedName>
    <definedName name="solver_lhs103" localSheetId="0" hidden="1">'User Preferences'!$M$9</definedName>
    <definedName name="solver_lhs104" localSheetId="0" hidden="1">'User Preferences'!$M$10</definedName>
    <definedName name="solver_lhs105" localSheetId="0" hidden="1">'User Preferences'!$M$11</definedName>
    <definedName name="solver_lhs106" localSheetId="0" hidden="1">'User Preferences'!$M$2</definedName>
    <definedName name="solver_lhs107" localSheetId="0" hidden="1">'User Preferences'!$M$3</definedName>
    <definedName name="solver_lhs108" localSheetId="0" hidden="1">'User Preferences'!$M$4</definedName>
    <definedName name="solver_lhs109" localSheetId="0" hidden="1">'User Preferences'!$M$5</definedName>
    <definedName name="solver_lhs11" localSheetId="0" hidden="1">'User Preferences'!$J$2</definedName>
    <definedName name="solver_lhs110" localSheetId="0" hidden="1">'User Preferences'!$M$6</definedName>
    <definedName name="solver_lhs111" localSheetId="0" hidden="1">'User Preferences'!$M$7</definedName>
    <definedName name="solver_lhs112" localSheetId="0" hidden="1">'User Preferences'!$M$8</definedName>
    <definedName name="solver_lhs113" localSheetId="0" hidden="1">'User Preferences'!$M$9</definedName>
    <definedName name="solver_lhs114" localSheetId="0" hidden="1">'User Preferences'!$M$10</definedName>
    <definedName name="solver_lhs115" localSheetId="0" hidden="1">'User Preferences'!$M$11</definedName>
    <definedName name="solver_lhs116" localSheetId="0" hidden="1">'User Preferences'!$O$12</definedName>
    <definedName name="solver_lhs117" localSheetId="0" hidden="1">'User Preferences'!$M$2</definedName>
    <definedName name="solver_lhs118" localSheetId="0" hidden="1">'User Preferences'!$M$3</definedName>
    <definedName name="solver_lhs119" localSheetId="0" hidden="1">'User Preferences'!$M$4</definedName>
    <definedName name="solver_lhs12" localSheetId="0" hidden="1">'User Preferences'!$J$3</definedName>
    <definedName name="solver_lhs120" localSheetId="0" hidden="1">'User Preferences'!$M$5</definedName>
    <definedName name="solver_lhs121" localSheetId="0" hidden="1">'User Preferences'!$M$6</definedName>
    <definedName name="solver_lhs122" localSheetId="0" hidden="1">'User Preferences'!$M$7</definedName>
    <definedName name="solver_lhs123" localSheetId="0" hidden="1">'User Preferences'!$M$8</definedName>
    <definedName name="solver_lhs124" localSheetId="0" hidden="1">'User Preferences'!$M$9</definedName>
    <definedName name="solver_lhs125" localSheetId="0" hidden="1">'User Preferences'!$M$10</definedName>
    <definedName name="solver_lhs126" localSheetId="0" hidden="1">'User Preferences'!$M$11</definedName>
    <definedName name="solver_lhs127" localSheetId="0" hidden="1">'User Preferences'!$M$2</definedName>
    <definedName name="solver_lhs128" localSheetId="0" hidden="1">'User Preferences'!$M$3</definedName>
    <definedName name="solver_lhs129" localSheetId="0" hidden="1">'User Preferences'!$M$4</definedName>
    <definedName name="solver_lhs13" localSheetId="0" hidden="1">'User Preferences'!$J$4</definedName>
    <definedName name="solver_lhs130" localSheetId="0" hidden="1">'User Preferences'!$M$5</definedName>
    <definedName name="solver_lhs131" localSheetId="0" hidden="1">'User Preferences'!$M$6</definedName>
    <definedName name="solver_lhs132" localSheetId="0" hidden="1">'User Preferences'!$M$7</definedName>
    <definedName name="solver_lhs133" localSheetId="0" hidden="1">'User Preferences'!$M$8</definedName>
    <definedName name="solver_lhs134" localSheetId="0" hidden="1">'User Preferences'!$M$9</definedName>
    <definedName name="solver_lhs135" localSheetId="0" hidden="1">'User Preferences'!$M$10</definedName>
    <definedName name="solver_lhs136" localSheetId="0" hidden="1">'User Preferences'!$M$11</definedName>
    <definedName name="solver_lhs137" localSheetId="0" hidden="1">'User Preferences'!$O$12</definedName>
    <definedName name="solver_lhs138" localSheetId="0" hidden="1">'User Preferences'!$M$2</definedName>
    <definedName name="solver_lhs139" localSheetId="0" hidden="1">'User Preferences'!$M$3</definedName>
    <definedName name="solver_lhs14" localSheetId="0" hidden="1">'User Preferences'!$J$5</definedName>
    <definedName name="solver_lhs140" localSheetId="0" hidden="1">'User Preferences'!$M$4</definedName>
    <definedName name="solver_lhs141" localSheetId="0" hidden="1">'User Preferences'!$M$5</definedName>
    <definedName name="solver_lhs142" localSheetId="0" hidden="1">'User Preferences'!$M$6</definedName>
    <definedName name="solver_lhs143" localSheetId="0" hidden="1">'User Preferences'!$M$7</definedName>
    <definedName name="solver_lhs144" localSheetId="0" hidden="1">'User Preferences'!$M$8</definedName>
    <definedName name="solver_lhs145" localSheetId="0" hidden="1">'User Preferences'!$M$9</definedName>
    <definedName name="solver_lhs146" localSheetId="0" hidden="1">'User Preferences'!$M$10</definedName>
    <definedName name="solver_lhs147" localSheetId="0" hidden="1">'User Preferences'!$M$11</definedName>
    <definedName name="solver_lhs148" localSheetId="0" hidden="1">'User Preferences'!$M$2</definedName>
    <definedName name="solver_lhs149" localSheetId="0" hidden="1">'User Preferences'!$M$3</definedName>
    <definedName name="solver_lhs15" localSheetId="0" hidden="1">'User Preferences'!$J$6</definedName>
    <definedName name="solver_lhs150" localSheetId="0" hidden="1">'User Preferences'!$M$4</definedName>
    <definedName name="solver_lhs151" localSheetId="0" hidden="1">'User Preferences'!$M$5</definedName>
    <definedName name="solver_lhs152" localSheetId="0" hidden="1">'User Preferences'!$M$6</definedName>
    <definedName name="solver_lhs153" localSheetId="0" hidden="1">'User Preferences'!$M$7</definedName>
    <definedName name="solver_lhs154" localSheetId="0" hidden="1">'User Preferences'!$M$8</definedName>
    <definedName name="solver_lhs155" localSheetId="0" hidden="1">'User Preferences'!$M$9</definedName>
    <definedName name="solver_lhs156" localSheetId="0" hidden="1">'User Preferences'!$M$10</definedName>
    <definedName name="solver_lhs157" localSheetId="0" hidden="1">'User Preferences'!$M$11</definedName>
    <definedName name="solver_lhs158" localSheetId="0" hidden="1">'User Preferences'!$O$12</definedName>
    <definedName name="solver_lhs159" localSheetId="0" hidden="1">'User Preferences'!$M$2</definedName>
    <definedName name="solver_lhs16" localSheetId="0" hidden="1">'User Preferences'!$J$7</definedName>
    <definedName name="solver_lhs160" localSheetId="0" hidden="1">'User Preferences'!$M$3</definedName>
    <definedName name="solver_lhs161" localSheetId="0" hidden="1">'User Preferences'!$M$4</definedName>
    <definedName name="solver_lhs162" localSheetId="0" hidden="1">'User Preferences'!$M$5</definedName>
    <definedName name="solver_lhs163" localSheetId="0" hidden="1">'User Preferences'!$M$6</definedName>
    <definedName name="solver_lhs164" localSheetId="0" hidden="1">'User Preferences'!$M$7</definedName>
    <definedName name="solver_lhs165" localSheetId="0" hidden="1">'User Preferences'!$M$8</definedName>
    <definedName name="solver_lhs166" localSheetId="0" hidden="1">'User Preferences'!$M$9</definedName>
    <definedName name="solver_lhs167" localSheetId="0" hidden="1">'User Preferences'!$M$10</definedName>
    <definedName name="solver_lhs168" localSheetId="0" hidden="1">'User Preferences'!$M$11</definedName>
    <definedName name="solver_lhs169" localSheetId="0" hidden="1">'User Preferences'!$M$2</definedName>
    <definedName name="solver_lhs17" localSheetId="0" hidden="1">'User Preferences'!$J$8</definedName>
    <definedName name="solver_lhs170" localSheetId="0" hidden="1">'User Preferences'!$M$3</definedName>
    <definedName name="solver_lhs171" localSheetId="0" hidden="1">'User Preferences'!$M$4</definedName>
    <definedName name="solver_lhs172" localSheetId="0" hidden="1">'User Preferences'!$M$5</definedName>
    <definedName name="solver_lhs173" localSheetId="0" hidden="1">'User Preferences'!$M$6</definedName>
    <definedName name="solver_lhs174" localSheetId="0" hidden="1">'User Preferences'!$M$7</definedName>
    <definedName name="solver_lhs175" localSheetId="0" hidden="1">'User Preferences'!$M$8</definedName>
    <definedName name="solver_lhs176" localSheetId="0" hidden="1">'User Preferences'!$M$9</definedName>
    <definedName name="solver_lhs177" localSheetId="0" hidden="1">'User Preferences'!$M$10</definedName>
    <definedName name="solver_lhs178" localSheetId="0" hidden="1">'User Preferences'!$M$11</definedName>
    <definedName name="solver_lhs179" localSheetId="0" hidden="1">'User Preferences'!$O$12</definedName>
    <definedName name="solver_lhs18" localSheetId="0" hidden="1">'User Preferences'!$J$9</definedName>
    <definedName name="solver_lhs180" localSheetId="0" hidden="1">'User Preferences'!$M$2</definedName>
    <definedName name="solver_lhs181" localSheetId="0" hidden="1">'User Preferences'!$M$3</definedName>
    <definedName name="solver_lhs182" localSheetId="0" hidden="1">'User Preferences'!$M$4</definedName>
    <definedName name="solver_lhs183" localSheetId="0" hidden="1">'User Preferences'!$M$5</definedName>
    <definedName name="solver_lhs184" localSheetId="0" hidden="1">'User Preferences'!$M$6</definedName>
    <definedName name="solver_lhs185" localSheetId="0" hidden="1">'User Preferences'!$M$7</definedName>
    <definedName name="solver_lhs186" localSheetId="0" hidden="1">'User Preferences'!$M$8</definedName>
    <definedName name="solver_lhs187" localSheetId="0" hidden="1">'User Preferences'!$M$9</definedName>
    <definedName name="solver_lhs188" localSheetId="0" hidden="1">'User Preferences'!$M$10</definedName>
    <definedName name="solver_lhs189" localSheetId="0" hidden="1">'User Preferences'!$M$11</definedName>
    <definedName name="solver_lhs19" localSheetId="0" hidden="1">'User Preferences'!$J$10</definedName>
    <definedName name="solver_lhs190" localSheetId="0" hidden="1">'User Preferences'!$M$2</definedName>
    <definedName name="solver_lhs191" localSheetId="0" hidden="1">'User Preferences'!$M$3</definedName>
    <definedName name="solver_lhs192" localSheetId="0" hidden="1">'User Preferences'!$M$4</definedName>
    <definedName name="solver_lhs193" localSheetId="0" hidden="1">'User Preferences'!$M$5</definedName>
    <definedName name="solver_lhs194" localSheetId="0" hidden="1">'User Preferences'!$M$6</definedName>
    <definedName name="solver_lhs195" localSheetId="0" hidden="1">'User Preferences'!$M$7</definedName>
    <definedName name="solver_lhs196" localSheetId="0" hidden="1">'User Preferences'!$M$8</definedName>
    <definedName name="solver_lhs197" localSheetId="0" hidden="1">'User Preferences'!$M$9</definedName>
    <definedName name="solver_lhs198" localSheetId="0" hidden="1">'User Preferences'!$M$10</definedName>
    <definedName name="solver_lhs199" localSheetId="0" hidden="1">'User Preferences'!$M$11</definedName>
    <definedName name="solver_lhs2" localSheetId="0" hidden="1">'User Preferences'!$J$2:$J$11</definedName>
    <definedName name="solver_lhs20" localSheetId="0" hidden="1">'User Preferences'!$J$11</definedName>
    <definedName name="solver_lhs200" localSheetId="0" hidden="1">'User Preferences'!$O$12</definedName>
    <definedName name="solver_lhs201" localSheetId="0" hidden="1">'User Preferences'!$M$2</definedName>
    <definedName name="solver_lhs202" localSheetId="0" hidden="1">'User Preferences'!$M$3</definedName>
    <definedName name="solver_lhs203" localSheetId="0" hidden="1">'User Preferences'!$M$4</definedName>
    <definedName name="solver_lhs204" localSheetId="0" hidden="1">'User Preferences'!$M$5</definedName>
    <definedName name="solver_lhs205" localSheetId="0" hidden="1">'User Preferences'!$M$6</definedName>
    <definedName name="solver_lhs206" localSheetId="0" hidden="1">'User Preferences'!$M$7</definedName>
    <definedName name="solver_lhs207" localSheetId="0" hidden="1">'User Preferences'!$M$8</definedName>
    <definedName name="solver_lhs208" localSheetId="0" hidden="1">'User Preferences'!$M$9</definedName>
    <definedName name="solver_lhs209" localSheetId="0" hidden="1">'User Preferences'!$M$10</definedName>
    <definedName name="solver_lhs21" localSheetId="0" hidden="1">'User Preferences'!$O$12</definedName>
    <definedName name="solver_lhs210" localSheetId="0" hidden="1">'User Preferences'!$M$11</definedName>
    <definedName name="solver_lhs211" localSheetId="0" hidden="1">'User Preferences'!$M$2</definedName>
    <definedName name="solver_lhs212" localSheetId="0" hidden="1">'User Preferences'!$M$3</definedName>
    <definedName name="solver_lhs213" localSheetId="0" hidden="1">'User Preferences'!$M$4</definedName>
    <definedName name="solver_lhs214" localSheetId="0" hidden="1">'User Preferences'!$M$5</definedName>
    <definedName name="solver_lhs215" localSheetId="0" hidden="1">'User Preferences'!$M$6</definedName>
    <definedName name="solver_lhs216" localSheetId="0" hidden="1">'User Preferences'!$M$7</definedName>
    <definedName name="solver_lhs217" localSheetId="0" hidden="1">'User Preferences'!$M$8</definedName>
    <definedName name="solver_lhs218" localSheetId="0" hidden="1">'User Preferences'!$M$9</definedName>
    <definedName name="solver_lhs219" localSheetId="0" hidden="1">'User Preferences'!$M$10</definedName>
    <definedName name="solver_lhs22" localSheetId="0" hidden="1">'User Preferences'!$J$7</definedName>
    <definedName name="solver_lhs220" localSheetId="0" hidden="1">'User Preferences'!$M$11</definedName>
    <definedName name="solver_lhs221" localSheetId="0" hidden="1">'User Preferences'!$O$12</definedName>
    <definedName name="solver_lhs222" localSheetId="0" hidden="1">'User Preferences'!$M$2</definedName>
    <definedName name="solver_lhs223" localSheetId="0" hidden="1">'User Preferences'!$M$3</definedName>
    <definedName name="solver_lhs224" localSheetId="0" hidden="1">'User Preferences'!$M$4</definedName>
    <definedName name="solver_lhs225" localSheetId="0" hidden="1">'User Preferences'!$M$5</definedName>
    <definedName name="solver_lhs226" localSheetId="0" hidden="1">'User Preferences'!$M$6</definedName>
    <definedName name="solver_lhs227" localSheetId="0" hidden="1">'User Preferences'!$M$7</definedName>
    <definedName name="solver_lhs228" localSheetId="0" hidden="1">'User Preferences'!$M$8</definedName>
    <definedName name="solver_lhs229" localSheetId="0" hidden="1">'User Preferences'!$M$9</definedName>
    <definedName name="solver_lhs23" localSheetId="0" hidden="1">'User Preferences'!$M$3</definedName>
    <definedName name="solver_lhs230" localSheetId="0" hidden="1">'User Preferences'!$M$10</definedName>
    <definedName name="solver_lhs231" localSheetId="0" hidden="1">'User Preferences'!$M$11</definedName>
    <definedName name="solver_lhs232" localSheetId="0" hidden="1">'User Preferences'!$M$2</definedName>
    <definedName name="solver_lhs233" localSheetId="0" hidden="1">'User Preferences'!$M$3</definedName>
    <definedName name="solver_lhs234" localSheetId="0" hidden="1">'User Preferences'!$M$4</definedName>
    <definedName name="solver_lhs235" localSheetId="0" hidden="1">'User Preferences'!$M$5</definedName>
    <definedName name="solver_lhs236" localSheetId="0" hidden="1">'User Preferences'!$M$6</definedName>
    <definedName name="solver_lhs237" localSheetId="0" hidden="1">'User Preferences'!$M$7</definedName>
    <definedName name="solver_lhs238" localSheetId="0" hidden="1">'User Preferences'!$M$8</definedName>
    <definedName name="solver_lhs239" localSheetId="0" hidden="1">'User Preferences'!$M$9</definedName>
    <definedName name="solver_lhs24" localSheetId="0" hidden="1">'User Preferences'!$M$4</definedName>
    <definedName name="solver_lhs240" localSheetId="0" hidden="1">'User Preferences'!$M$10</definedName>
    <definedName name="solver_lhs241" localSheetId="0" hidden="1">'User Preferences'!$M$11</definedName>
    <definedName name="solver_lhs242" localSheetId="0" hidden="1">'User Preferences'!$O$12</definedName>
    <definedName name="solver_lhs243" localSheetId="0" hidden="1">'User Preferences'!$M$2</definedName>
    <definedName name="solver_lhs244" localSheetId="0" hidden="1">'User Preferences'!$M$3</definedName>
    <definedName name="solver_lhs245" localSheetId="0" hidden="1">'User Preferences'!$M$4</definedName>
    <definedName name="solver_lhs246" localSheetId="0" hidden="1">'User Preferences'!$M$5</definedName>
    <definedName name="solver_lhs247" localSheetId="0" hidden="1">'User Preferences'!$M$6</definedName>
    <definedName name="solver_lhs248" localSheetId="0" hidden="1">'User Preferences'!$M$7</definedName>
    <definedName name="solver_lhs249" localSheetId="0" hidden="1">'User Preferences'!$M$8</definedName>
    <definedName name="solver_lhs25" localSheetId="0" hidden="1">'User Preferences'!$M$5</definedName>
    <definedName name="solver_lhs250" localSheetId="0" hidden="1">'User Preferences'!$M$9</definedName>
    <definedName name="solver_lhs251" localSheetId="0" hidden="1">'User Preferences'!$M$10</definedName>
    <definedName name="solver_lhs252" localSheetId="0" hidden="1">'User Preferences'!$M$11</definedName>
    <definedName name="solver_lhs253" localSheetId="0" hidden="1">'User Preferences'!$M$2</definedName>
    <definedName name="solver_lhs254" localSheetId="0" hidden="1">'User Preferences'!$M$3</definedName>
    <definedName name="solver_lhs255" localSheetId="0" hidden="1">'User Preferences'!$M$4</definedName>
    <definedName name="solver_lhs256" localSheetId="0" hidden="1">'User Preferences'!$M$5</definedName>
    <definedName name="solver_lhs257" localSheetId="0" hidden="1">'User Preferences'!$M$6</definedName>
    <definedName name="solver_lhs258" localSheetId="0" hidden="1">'User Preferences'!$M$7</definedName>
    <definedName name="solver_lhs259" localSheetId="0" hidden="1">'User Preferences'!$M$8</definedName>
    <definedName name="solver_lhs26" localSheetId="0" hidden="1">'User Preferences'!$M$6</definedName>
    <definedName name="solver_lhs260" localSheetId="0" hidden="1">'User Preferences'!$M$9</definedName>
    <definedName name="solver_lhs261" localSheetId="0" hidden="1">'User Preferences'!$M$10</definedName>
    <definedName name="solver_lhs262" localSheetId="0" hidden="1">'User Preferences'!$M$11</definedName>
    <definedName name="solver_lhs263" localSheetId="0" hidden="1">'User Preferences'!$O$12</definedName>
    <definedName name="solver_lhs264" localSheetId="0" hidden="1">'User Preferences'!$M$2</definedName>
    <definedName name="solver_lhs265" localSheetId="0" hidden="1">'User Preferences'!$M$3</definedName>
    <definedName name="solver_lhs266" localSheetId="0" hidden="1">'User Preferences'!$M$4</definedName>
    <definedName name="solver_lhs267" localSheetId="0" hidden="1">'User Preferences'!$M$5</definedName>
    <definedName name="solver_lhs268" localSheetId="0" hidden="1">'User Preferences'!$M$6</definedName>
    <definedName name="solver_lhs269" localSheetId="0" hidden="1">'User Preferences'!$M$7</definedName>
    <definedName name="solver_lhs27" localSheetId="0" hidden="1">'User Preferences'!$M$7</definedName>
    <definedName name="solver_lhs270" localSheetId="0" hidden="1">'User Preferences'!$M$8</definedName>
    <definedName name="solver_lhs271" localSheetId="0" hidden="1">'User Preferences'!$M$9</definedName>
    <definedName name="solver_lhs272" localSheetId="0" hidden="1">'User Preferences'!$M$10</definedName>
    <definedName name="solver_lhs273" localSheetId="0" hidden="1">'User Preferences'!$M$11</definedName>
    <definedName name="solver_lhs274" localSheetId="0" hidden="1">'User Preferences'!$M$2</definedName>
    <definedName name="solver_lhs275" localSheetId="0" hidden="1">'User Preferences'!$M$3</definedName>
    <definedName name="solver_lhs276" localSheetId="0" hidden="1">'User Preferences'!$M$4</definedName>
    <definedName name="solver_lhs277" localSheetId="0" hidden="1">'User Preferences'!$M$5</definedName>
    <definedName name="solver_lhs278" localSheetId="0" hidden="1">'User Preferences'!$M$6</definedName>
    <definedName name="solver_lhs279" localSheetId="0" hidden="1">'User Preferences'!$M$7</definedName>
    <definedName name="solver_lhs28" localSheetId="0" hidden="1">'User Preferences'!$M$8</definedName>
    <definedName name="solver_lhs280" localSheetId="0" hidden="1">'User Preferences'!$M$8</definedName>
    <definedName name="solver_lhs281" localSheetId="0" hidden="1">'User Preferences'!$M$9</definedName>
    <definedName name="solver_lhs282" localSheetId="0" hidden="1">'User Preferences'!$M$10</definedName>
    <definedName name="solver_lhs283" localSheetId="0" hidden="1">'User Preferences'!$M$11</definedName>
    <definedName name="solver_lhs284" localSheetId="0" hidden="1">'User Preferences'!$O$12</definedName>
    <definedName name="solver_lhs285" localSheetId="0" hidden="1">'User Preferences'!$M$2</definedName>
    <definedName name="solver_lhs286" localSheetId="0" hidden="1">'User Preferences'!$M$3</definedName>
    <definedName name="solver_lhs287" localSheetId="0" hidden="1">'User Preferences'!$M$4</definedName>
    <definedName name="solver_lhs288" localSheetId="0" hidden="1">'User Preferences'!$M$5</definedName>
    <definedName name="solver_lhs289" localSheetId="0" hidden="1">'User Preferences'!$M$6</definedName>
    <definedName name="solver_lhs29" localSheetId="0" hidden="1">'User Preferences'!$M$9</definedName>
    <definedName name="solver_lhs290" localSheetId="0" hidden="1">'User Preferences'!$M$7</definedName>
    <definedName name="solver_lhs291" localSheetId="0" hidden="1">'User Preferences'!$M$8</definedName>
    <definedName name="solver_lhs292" localSheetId="0" hidden="1">'User Preferences'!$M$9</definedName>
    <definedName name="solver_lhs293" localSheetId="0" hidden="1">'User Preferences'!$M$10</definedName>
    <definedName name="solver_lhs294" localSheetId="0" hidden="1">'User Preferences'!$M$11</definedName>
    <definedName name="solver_lhs295" localSheetId="0" hidden="1">'User Preferences'!$M$2</definedName>
    <definedName name="solver_lhs296" localSheetId="0" hidden="1">'User Preferences'!$M$3</definedName>
    <definedName name="solver_lhs297" localSheetId="0" hidden="1">'User Preferences'!$M$4</definedName>
    <definedName name="solver_lhs298" localSheetId="0" hidden="1">'User Preferences'!$M$5</definedName>
    <definedName name="solver_lhs299" localSheetId="0" hidden="1">'User Preferences'!$M$6</definedName>
    <definedName name="solver_lhs3" localSheetId="0" hidden="1">'User Preferences'!$O$12</definedName>
    <definedName name="solver_lhs30" localSheetId="0" hidden="1">'User Preferences'!$M$10</definedName>
    <definedName name="solver_lhs300" localSheetId="0" hidden="1">'User Preferences'!$M$7</definedName>
    <definedName name="solver_lhs301" localSheetId="0" hidden="1">'User Preferences'!$M$8</definedName>
    <definedName name="solver_lhs302" localSheetId="0" hidden="1">'User Preferences'!$M$9</definedName>
    <definedName name="solver_lhs303" localSheetId="0" hidden="1">'User Preferences'!$M$10</definedName>
    <definedName name="solver_lhs304" localSheetId="0" hidden="1">'User Preferences'!$M$11</definedName>
    <definedName name="solver_lhs305" localSheetId="0" hidden="1">'User Preferences'!$O$12</definedName>
    <definedName name="solver_lhs306" localSheetId="0" hidden="1">'User Preferences'!$M$2</definedName>
    <definedName name="solver_lhs307" localSheetId="0" hidden="1">'User Preferences'!$M$3</definedName>
    <definedName name="solver_lhs308" localSheetId="0" hidden="1">'User Preferences'!$M$4</definedName>
    <definedName name="solver_lhs309" localSheetId="0" hidden="1">'User Preferences'!$M$5</definedName>
    <definedName name="solver_lhs31" localSheetId="0" hidden="1">'User Preferences'!$M$11</definedName>
    <definedName name="solver_lhs310" localSheetId="0" hidden="1">'User Preferences'!$M$6</definedName>
    <definedName name="solver_lhs311" localSheetId="0" hidden="1">'User Preferences'!$M$7</definedName>
    <definedName name="solver_lhs312" localSheetId="0" hidden="1">'User Preferences'!$M$8</definedName>
    <definedName name="solver_lhs313" localSheetId="0" hidden="1">'User Preferences'!$M$9</definedName>
    <definedName name="solver_lhs314" localSheetId="0" hidden="1">'User Preferences'!$M$10</definedName>
    <definedName name="solver_lhs315" localSheetId="0" hidden="1">'User Preferences'!$M$11</definedName>
    <definedName name="solver_lhs316" localSheetId="0" hidden="1">'User Preferences'!$M$2</definedName>
    <definedName name="solver_lhs317" localSheetId="0" hidden="1">'User Preferences'!$M$3</definedName>
    <definedName name="solver_lhs318" localSheetId="0" hidden="1">'User Preferences'!$M$4</definedName>
    <definedName name="solver_lhs319" localSheetId="0" hidden="1">'User Preferences'!$M$5</definedName>
    <definedName name="solver_lhs32" localSheetId="0" hidden="1">'User Preferences'!$O$12</definedName>
    <definedName name="solver_lhs320" localSheetId="0" hidden="1">'User Preferences'!$M$6</definedName>
    <definedName name="solver_lhs321" localSheetId="0" hidden="1">'User Preferences'!$M$7</definedName>
    <definedName name="solver_lhs322" localSheetId="0" hidden="1">'User Preferences'!$M$8</definedName>
    <definedName name="solver_lhs323" localSheetId="0" hidden="1">'User Preferences'!$M$9</definedName>
    <definedName name="solver_lhs324" localSheetId="0" hidden="1">'User Preferences'!$M$10</definedName>
    <definedName name="solver_lhs325" localSheetId="0" hidden="1">'User Preferences'!$M$11</definedName>
    <definedName name="solver_lhs326" localSheetId="0" hidden="1">'User Preferences'!$O$12</definedName>
    <definedName name="solver_lhs327" localSheetId="0" hidden="1">'User Preferences'!$M$2</definedName>
    <definedName name="solver_lhs328" localSheetId="0" hidden="1">'User Preferences'!$M$3</definedName>
    <definedName name="solver_lhs329" localSheetId="0" hidden="1">'User Preferences'!$M$4</definedName>
    <definedName name="solver_lhs33" localSheetId="0" hidden="1">'User Preferences'!$M$2</definedName>
    <definedName name="solver_lhs330" localSheetId="0" hidden="1">'User Preferences'!$M$5</definedName>
    <definedName name="solver_lhs331" localSheetId="0" hidden="1">'User Preferences'!$M$6</definedName>
    <definedName name="solver_lhs332" localSheetId="0" hidden="1">'User Preferences'!$M$7</definedName>
    <definedName name="solver_lhs333" localSheetId="0" hidden="1">'User Preferences'!$M$8</definedName>
    <definedName name="solver_lhs334" localSheetId="0" hidden="1">'User Preferences'!$M$9</definedName>
    <definedName name="solver_lhs335" localSheetId="0" hidden="1">'User Preferences'!$M$10</definedName>
    <definedName name="solver_lhs336" localSheetId="0" hidden="1">'User Preferences'!$M$11</definedName>
    <definedName name="solver_lhs337" localSheetId="0" hidden="1">'User Preferences'!$M$2</definedName>
    <definedName name="solver_lhs338" localSheetId="0" hidden="1">'User Preferences'!$M$3</definedName>
    <definedName name="solver_lhs339" localSheetId="0" hidden="1">'User Preferences'!$M$4</definedName>
    <definedName name="solver_lhs34" localSheetId="0" hidden="1">'User Preferences'!$M$3</definedName>
    <definedName name="solver_lhs340" localSheetId="0" hidden="1">'User Preferences'!$M$5</definedName>
    <definedName name="solver_lhs341" localSheetId="0" hidden="1">'User Preferences'!$M$6</definedName>
    <definedName name="solver_lhs342" localSheetId="0" hidden="1">'User Preferences'!$M$7</definedName>
    <definedName name="solver_lhs343" localSheetId="0" hidden="1">'User Preferences'!$M$8</definedName>
    <definedName name="solver_lhs344" localSheetId="0" hidden="1">'User Preferences'!$M$9</definedName>
    <definedName name="solver_lhs345" localSheetId="0" hidden="1">'User Preferences'!$M$10</definedName>
    <definedName name="solver_lhs346" localSheetId="0" hidden="1">'User Preferences'!$M$11</definedName>
    <definedName name="solver_lhs347" localSheetId="0" hidden="1">'User Preferences'!$O$12</definedName>
    <definedName name="solver_lhs348" localSheetId="0" hidden="1">'User Preferences'!$M$2</definedName>
    <definedName name="solver_lhs349" localSheetId="0" hidden="1">'User Preferences'!$M$3</definedName>
    <definedName name="solver_lhs35" localSheetId="0" hidden="1">'User Preferences'!$M$4</definedName>
    <definedName name="solver_lhs350" localSheetId="0" hidden="1">'User Preferences'!$M$4</definedName>
    <definedName name="solver_lhs351" localSheetId="0" hidden="1">'User Preferences'!$M$5</definedName>
    <definedName name="solver_lhs352" localSheetId="0" hidden="1">'User Preferences'!$M$6</definedName>
    <definedName name="solver_lhs353" localSheetId="0" hidden="1">'User Preferences'!$M$7</definedName>
    <definedName name="solver_lhs354" localSheetId="0" hidden="1">'User Preferences'!$M$8</definedName>
    <definedName name="solver_lhs355" localSheetId="0" hidden="1">'User Preferences'!$M$9</definedName>
    <definedName name="solver_lhs356" localSheetId="0" hidden="1">'User Preferences'!$M$10</definedName>
    <definedName name="solver_lhs357" localSheetId="0" hidden="1">'User Preferences'!$M$11</definedName>
    <definedName name="solver_lhs358" localSheetId="0" hidden="1">'User Preferences'!$M$2</definedName>
    <definedName name="solver_lhs359" localSheetId="0" hidden="1">'User Preferences'!$M$3</definedName>
    <definedName name="solver_lhs36" localSheetId="0" hidden="1">'User Preferences'!$M$5</definedName>
    <definedName name="solver_lhs360" localSheetId="0" hidden="1">'User Preferences'!$M$4</definedName>
    <definedName name="solver_lhs361" localSheetId="0" hidden="1">'User Preferences'!$M$5</definedName>
    <definedName name="solver_lhs362" localSheetId="0" hidden="1">'User Preferences'!$M$6</definedName>
    <definedName name="solver_lhs363" localSheetId="0" hidden="1">'User Preferences'!$M$7</definedName>
    <definedName name="solver_lhs364" localSheetId="0" hidden="1">'User Preferences'!$M$8</definedName>
    <definedName name="solver_lhs365" localSheetId="0" hidden="1">'User Preferences'!$M$9</definedName>
    <definedName name="solver_lhs366" localSheetId="0" hidden="1">'User Preferences'!$M$10</definedName>
    <definedName name="solver_lhs367" localSheetId="0" hidden="1">'User Preferences'!$M$11</definedName>
    <definedName name="solver_lhs368" localSheetId="0" hidden="1">'User Preferences'!$O$12</definedName>
    <definedName name="solver_lhs369" localSheetId="0" hidden="1">'User Preferences'!$M$2</definedName>
    <definedName name="solver_lhs37" localSheetId="0" hidden="1">'User Preferences'!$M$6</definedName>
    <definedName name="solver_lhs370" localSheetId="0" hidden="1">'User Preferences'!$M$3</definedName>
    <definedName name="solver_lhs371" localSheetId="0" hidden="1">'User Preferences'!$M$4</definedName>
    <definedName name="solver_lhs372" localSheetId="0" hidden="1">'User Preferences'!$M$5</definedName>
    <definedName name="solver_lhs373" localSheetId="0" hidden="1">'User Preferences'!$M$6</definedName>
    <definedName name="solver_lhs374" localSheetId="0" hidden="1">'User Preferences'!$M$7</definedName>
    <definedName name="solver_lhs375" localSheetId="0" hidden="1">'User Preferences'!$M$8</definedName>
    <definedName name="solver_lhs376" localSheetId="0" hidden="1">'User Preferences'!$M$9</definedName>
    <definedName name="solver_lhs377" localSheetId="0" hidden="1">'User Preferences'!$M$10</definedName>
    <definedName name="solver_lhs378" localSheetId="0" hidden="1">'User Preferences'!$M$11</definedName>
    <definedName name="solver_lhs379" localSheetId="0" hidden="1">'User Preferences'!$M$2</definedName>
    <definedName name="solver_lhs38" localSheetId="0" hidden="1">'User Preferences'!$M$7</definedName>
    <definedName name="solver_lhs380" localSheetId="0" hidden="1">'User Preferences'!$M$3</definedName>
    <definedName name="solver_lhs381" localSheetId="0" hidden="1">'User Preferences'!$M$4</definedName>
    <definedName name="solver_lhs382" localSheetId="0" hidden="1">'User Preferences'!$M$5</definedName>
    <definedName name="solver_lhs383" localSheetId="0" hidden="1">'User Preferences'!$M$6</definedName>
    <definedName name="solver_lhs384" localSheetId="0" hidden="1">'User Preferences'!$M$7</definedName>
    <definedName name="solver_lhs385" localSheetId="0" hidden="1">'User Preferences'!$M$8</definedName>
    <definedName name="solver_lhs386" localSheetId="0" hidden="1">'User Preferences'!$M$9</definedName>
    <definedName name="solver_lhs387" localSheetId="0" hidden="1">'User Preferences'!$M$10</definedName>
    <definedName name="solver_lhs388" localSheetId="0" hidden="1">'User Preferences'!$M$11</definedName>
    <definedName name="solver_lhs389" localSheetId="0" hidden="1">'User Preferences'!$O$12</definedName>
    <definedName name="solver_lhs39" localSheetId="0" hidden="1">'User Preferences'!$M$8</definedName>
    <definedName name="solver_lhs390" localSheetId="0" hidden="1">'User Preferences'!$M$2</definedName>
    <definedName name="solver_lhs391" localSheetId="0" hidden="1">'User Preferences'!$M$3</definedName>
    <definedName name="solver_lhs392" localSheetId="0" hidden="1">'User Preferences'!$M$4</definedName>
    <definedName name="solver_lhs393" localSheetId="0" hidden="1">'User Preferences'!$M$5</definedName>
    <definedName name="solver_lhs394" localSheetId="0" hidden="1">'User Preferences'!$M$6</definedName>
    <definedName name="solver_lhs395" localSheetId="0" hidden="1">'User Preferences'!$M$7</definedName>
    <definedName name="solver_lhs396" localSheetId="0" hidden="1">'User Preferences'!$M$8</definedName>
    <definedName name="solver_lhs397" localSheetId="0" hidden="1">'User Preferences'!$M$9</definedName>
    <definedName name="solver_lhs398" localSheetId="0" hidden="1">'User Preferences'!$M$10</definedName>
    <definedName name="solver_lhs399" localSheetId="0" hidden="1">'User Preferences'!$M$11</definedName>
    <definedName name="solver_lhs4" localSheetId="0" hidden="1">'User Preferences'!$M$2:$M$11</definedName>
    <definedName name="solver_lhs40" localSheetId="0" hidden="1">'User Preferences'!$M$9</definedName>
    <definedName name="solver_lhs400" localSheetId="0" hidden="1">'User Preferences'!$M$2</definedName>
    <definedName name="solver_lhs401" localSheetId="0" hidden="1">'User Preferences'!$M$3</definedName>
    <definedName name="solver_lhs402" localSheetId="0" hidden="1">'User Preferences'!$M$4</definedName>
    <definedName name="solver_lhs403" localSheetId="0" hidden="1">'User Preferences'!$M$5</definedName>
    <definedName name="solver_lhs404" localSheetId="0" hidden="1">'User Preferences'!$M$6</definedName>
    <definedName name="solver_lhs405" localSheetId="0" hidden="1">'User Preferences'!$M$7</definedName>
    <definedName name="solver_lhs406" localSheetId="0" hidden="1">'User Preferences'!$M$8</definedName>
    <definedName name="solver_lhs407" localSheetId="0" hidden="1">'User Preferences'!$M$9</definedName>
    <definedName name="solver_lhs408" localSheetId="0" hidden="1">'User Preferences'!$M$10</definedName>
    <definedName name="solver_lhs409" localSheetId="0" hidden="1">'User Preferences'!$M$11</definedName>
    <definedName name="solver_lhs41" localSheetId="0" hidden="1">'User Preferences'!$M$10</definedName>
    <definedName name="solver_lhs410" localSheetId="0" hidden="1">'User Preferences'!$O$12</definedName>
    <definedName name="solver_lhs411" localSheetId="0" hidden="1">'User Preferences'!$M$2</definedName>
    <definedName name="solver_lhs412" localSheetId="0" hidden="1">'User Preferences'!$M$3</definedName>
    <definedName name="solver_lhs413" localSheetId="0" hidden="1">'User Preferences'!$M$4</definedName>
    <definedName name="solver_lhs414" localSheetId="0" hidden="1">'User Preferences'!$M$5</definedName>
    <definedName name="solver_lhs415" localSheetId="0" hidden="1">'User Preferences'!$M$6</definedName>
    <definedName name="solver_lhs416" localSheetId="0" hidden="1">'User Preferences'!$M$7</definedName>
    <definedName name="solver_lhs417" localSheetId="0" hidden="1">'User Preferences'!$M$8</definedName>
    <definedName name="solver_lhs418" localSheetId="0" hidden="1">'User Preferences'!$M$9</definedName>
    <definedName name="solver_lhs419" localSheetId="0" hidden="1">'User Preferences'!$M$10</definedName>
    <definedName name="solver_lhs42" localSheetId="0" hidden="1">'User Preferences'!$M$11</definedName>
    <definedName name="solver_lhs420" localSheetId="0" hidden="1">'User Preferences'!$M$11</definedName>
    <definedName name="solver_lhs421" localSheetId="0" hidden="1">'User Preferences'!$M$2</definedName>
    <definedName name="solver_lhs422" localSheetId="0" hidden="1">'User Preferences'!$M$3</definedName>
    <definedName name="solver_lhs423" localSheetId="0" hidden="1">'User Preferences'!$M$4</definedName>
    <definedName name="solver_lhs424" localSheetId="0" hidden="1">'User Preferences'!$M$5</definedName>
    <definedName name="solver_lhs425" localSheetId="0" hidden="1">'User Preferences'!$M$6</definedName>
    <definedName name="solver_lhs426" localSheetId="0" hidden="1">'User Preferences'!$M$7</definedName>
    <definedName name="solver_lhs427" localSheetId="0" hidden="1">'User Preferences'!$M$8</definedName>
    <definedName name="solver_lhs428" localSheetId="0" hidden="1">'User Preferences'!$M$9</definedName>
    <definedName name="solver_lhs429" localSheetId="0" hidden="1">'User Preferences'!$M$10</definedName>
    <definedName name="solver_lhs43" localSheetId="0" hidden="1">'User Preferences'!$M$2</definedName>
    <definedName name="solver_lhs430" localSheetId="0" hidden="1">'User Preferences'!$M$11</definedName>
    <definedName name="solver_lhs431" localSheetId="0" hidden="1">'User Preferences'!$O$12</definedName>
    <definedName name="solver_lhs432" localSheetId="0" hidden="1">'User Preferences'!$M$2</definedName>
    <definedName name="solver_lhs433" localSheetId="0" hidden="1">'User Preferences'!$M$3</definedName>
    <definedName name="solver_lhs434" localSheetId="0" hidden="1">'User Preferences'!$M$4</definedName>
    <definedName name="solver_lhs435" localSheetId="0" hidden="1">'User Preferences'!$M$5</definedName>
    <definedName name="solver_lhs436" localSheetId="0" hidden="1">'User Preferences'!$M$6</definedName>
    <definedName name="solver_lhs437" localSheetId="0" hidden="1">'User Preferences'!$M$7</definedName>
    <definedName name="solver_lhs438" localSheetId="0" hidden="1">'User Preferences'!$M$8</definedName>
    <definedName name="solver_lhs439" localSheetId="0" hidden="1">'User Preferences'!$M$9</definedName>
    <definedName name="solver_lhs44" localSheetId="0" hidden="1">'User Preferences'!$M$3</definedName>
    <definedName name="solver_lhs440" localSheetId="0" hidden="1">'User Preferences'!$M$10</definedName>
    <definedName name="solver_lhs441" localSheetId="0" hidden="1">'User Preferences'!$M$11</definedName>
    <definedName name="solver_lhs442" localSheetId="0" hidden="1">'User Preferences'!$M$2</definedName>
    <definedName name="solver_lhs443" localSheetId="0" hidden="1">'User Preferences'!$M$3</definedName>
    <definedName name="solver_lhs444" localSheetId="0" hidden="1">'User Preferences'!$M$4</definedName>
    <definedName name="solver_lhs445" localSheetId="0" hidden="1">'User Preferences'!$M$5</definedName>
    <definedName name="solver_lhs446" localSheetId="0" hidden="1">'User Preferences'!$M$6</definedName>
    <definedName name="solver_lhs447" localSheetId="0" hidden="1">'User Preferences'!$M$7</definedName>
    <definedName name="solver_lhs448" localSheetId="0" hidden="1">'User Preferences'!$M$8</definedName>
    <definedName name="solver_lhs449" localSheetId="0" hidden="1">'User Preferences'!$M$9</definedName>
    <definedName name="solver_lhs45" localSheetId="0" hidden="1">'User Preferences'!$M$4</definedName>
    <definedName name="solver_lhs450" localSheetId="0" hidden="1">'User Preferences'!$M$10</definedName>
    <definedName name="solver_lhs451" localSheetId="0" hidden="1">'User Preferences'!$M$11</definedName>
    <definedName name="solver_lhs452" localSheetId="0" hidden="1">'User Preferences'!$L$12</definedName>
    <definedName name="solver_lhs453" localSheetId="0" hidden="1">'User Preferences'!$M$2</definedName>
    <definedName name="solver_lhs454" localSheetId="0" hidden="1">'User Preferences'!$M$3</definedName>
    <definedName name="solver_lhs455" localSheetId="0" hidden="1">'User Preferences'!$M$4</definedName>
    <definedName name="solver_lhs456" localSheetId="0" hidden="1">'User Preferences'!$M$5</definedName>
    <definedName name="solver_lhs457" localSheetId="0" hidden="1">'User Preferences'!$M$6</definedName>
    <definedName name="solver_lhs458" localSheetId="0" hidden="1">'User Preferences'!$M$7</definedName>
    <definedName name="solver_lhs459" localSheetId="0" hidden="1">'User Preferences'!$M$8</definedName>
    <definedName name="solver_lhs46" localSheetId="0" hidden="1">'User Preferences'!$M$5</definedName>
    <definedName name="solver_lhs460" localSheetId="0" hidden="1">'User Preferences'!$M$9</definedName>
    <definedName name="solver_lhs461" localSheetId="0" hidden="1">'User Preferences'!$M$10</definedName>
    <definedName name="solver_lhs462" localSheetId="0" hidden="1">'User Preferences'!$M$11</definedName>
    <definedName name="solver_lhs463" localSheetId="0" hidden="1">'User Preferences'!$M$2</definedName>
    <definedName name="solver_lhs464" localSheetId="0" hidden="1">'User Preferences'!$M$3</definedName>
    <definedName name="solver_lhs465" localSheetId="0" hidden="1">'User Preferences'!$M$4</definedName>
    <definedName name="solver_lhs466" localSheetId="0" hidden="1">'User Preferences'!$M$5</definedName>
    <definedName name="solver_lhs467" localSheetId="0" hidden="1">'User Preferences'!$M$6</definedName>
    <definedName name="solver_lhs468" localSheetId="0" hidden="1">'User Preferences'!$M$7</definedName>
    <definedName name="solver_lhs469" localSheetId="0" hidden="1">'User Preferences'!$M$8</definedName>
    <definedName name="solver_lhs47" localSheetId="0" hidden="1">'User Preferences'!$M$6</definedName>
    <definedName name="solver_lhs470" localSheetId="0" hidden="1">'User Preferences'!$M$9</definedName>
    <definedName name="solver_lhs471" localSheetId="0" hidden="1">'User Preferences'!$M$10</definedName>
    <definedName name="solver_lhs472" localSheetId="0" hidden="1">'User Preferences'!$M$11</definedName>
    <definedName name="solver_lhs473" localSheetId="0" hidden="1">'User Preferences'!$L$12</definedName>
    <definedName name="solver_lhs474" localSheetId="0" hidden="1">'User Preferences'!$M$2</definedName>
    <definedName name="solver_lhs475" localSheetId="0" hidden="1">'User Preferences'!$M$3</definedName>
    <definedName name="solver_lhs476" localSheetId="0" hidden="1">'User Preferences'!$M$4</definedName>
    <definedName name="solver_lhs477" localSheetId="0" hidden="1">'User Preferences'!$M$5</definedName>
    <definedName name="solver_lhs478" localSheetId="0" hidden="1">'User Preferences'!$M$6</definedName>
    <definedName name="solver_lhs479" localSheetId="0" hidden="1">'User Preferences'!$M$7</definedName>
    <definedName name="solver_lhs48" localSheetId="0" hidden="1">'User Preferences'!$M$7</definedName>
    <definedName name="solver_lhs480" localSheetId="0" hidden="1">'User Preferences'!$M$8</definedName>
    <definedName name="solver_lhs481" localSheetId="0" hidden="1">'User Preferences'!$M$9</definedName>
    <definedName name="solver_lhs482" localSheetId="0" hidden="1">'User Preferences'!$M$10</definedName>
    <definedName name="solver_lhs483" localSheetId="0" hidden="1">'User Preferences'!$M$11</definedName>
    <definedName name="solver_lhs484" localSheetId="0" hidden="1">'User Preferences'!$M$2</definedName>
    <definedName name="solver_lhs485" localSheetId="0" hidden="1">'User Preferences'!$M$3</definedName>
    <definedName name="solver_lhs486" localSheetId="0" hidden="1">'User Preferences'!$M$4</definedName>
    <definedName name="solver_lhs487" localSheetId="0" hidden="1">'User Preferences'!$M$5</definedName>
    <definedName name="solver_lhs488" localSheetId="0" hidden="1">'User Preferences'!$M$6</definedName>
    <definedName name="solver_lhs489" localSheetId="0" hidden="1">'User Preferences'!$M$7</definedName>
    <definedName name="solver_lhs49" localSheetId="0" hidden="1">'User Preferences'!$M$8</definedName>
    <definedName name="solver_lhs490" localSheetId="0" hidden="1">'User Preferences'!$M$8</definedName>
    <definedName name="solver_lhs491" localSheetId="0" hidden="1">'User Preferences'!$M$9</definedName>
    <definedName name="solver_lhs492" localSheetId="0" hidden="1">'User Preferences'!$M$10</definedName>
    <definedName name="solver_lhs493" localSheetId="0" hidden="1">'User Preferences'!$M$11</definedName>
    <definedName name="solver_lhs494" localSheetId="0" hidden="1">'User Preferences'!$L$12</definedName>
    <definedName name="solver_lhs495" localSheetId="0" hidden="1">'User Preferences'!$M$2</definedName>
    <definedName name="solver_lhs496" localSheetId="0" hidden="1">'User Preferences'!$M$3</definedName>
    <definedName name="solver_lhs497" localSheetId="0" hidden="1">'User Preferences'!$M$4</definedName>
    <definedName name="solver_lhs498" localSheetId="0" hidden="1">'User Preferences'!$M$5</definedName>
    <definedName name="solver_lhs499" localSheetId="0" hidden="1">'User Preferences'!$M$6</definedName>
    <definedName name="solver_lhs5" localSheetId="0" hidden="1">'User Preferences'!$M$6</definedName>
    <definedName name="solver_lhs50" localSheetId="0" hidden="1">'User Preferences'!$M$9</definedName>
    <definedName name="solver_lhs500" localSheetId="0" hidden="1">'User Preferences'!$M$7</definedName>
    <definedName name="solver_lhs501" localSheetId="0" hidden="1">'User Preferences'!$M$8</definedName>
    <definedName name="solver_lhs502" localSheetId="0" hidden="1">'User Preferences'!$M$9</definedName>
    <definedName name="solver_lhs503" localSheetId="0" hidden="1">'User Preferences'!$M$10</definedName>
    <definedName name="solver_lhs504" localSheetId="0" hidden="1">'User Preferences'!$M$11</definedName>
    <definedName name="solver_lhs505" localSheetId="0" hidden="1">'User Preferences'!$M$2</definedName>
    <definedName name="solver_lhs506" localSheetId="0" hidden="1">'User Preferences'!$M$3</definedName>
    <definedName name="solver_lhs507" localSheetId="0" hidden="1">'User Preferences'!$M$4</definedName>
    <definedName name="solver_lhs508" localSheetId="0" hidden="1">'User Preferences'!$M$5</definedName>
    <definedName name="solver_lhs509" localSheetId="0" hidden="1">'User Preferences'!$M$6</definedName>
    <definedName name="solver_lhs51" localSheetId="0" hidden="1">'User Preferences'!$M$10</definedName>
    <definedName name="solver_lhs510" localSheetId="0" hidden="1">'User Preferences'!$M$7</definedName>
    <definedName name="solver_lhs511" localSheetId="0" hidden="1">'User Preferences'!$M$8</definedName>
    <definedName name="solver_lhs512" localSheetId="0" hidden="1">'User Preferences'!$M$9</definedName>
    <definedName name="solver_lhs513" localSheetId="0" hidden="1">'User Preferences'!$M$10</definedName>
    <definedName name="solver_lhs514" localSheetId="0" hidden="1">'User Preferences'!$M$11</definedName>
    <definedName name="solver_lhs515" localSheetId="0" hidden="1">'User Preferences'!$L$12</definedName>
    <definedName name="solver_lhs516" localSheetId="0" hidden="1">'User Preferences'!$M$2</definedName>
    <definedName name="solver_lhs517" localSheetId="0" hidden="1">'User Preferences'!$M$3</definedName>
    <definedName name="solver_lhs518" localSheetId="0" hidden="1">'User Preferences'!$M$4</definedName>
    <definedName name="solver_lhs519" localSheetId="0" hidden="1">'User Preferences'!$M$5</definedName>
    <definedName name="solver_lhs52" localSheetId="0" hidden="1">'User Preferences'!$M$11</definedName>
    <definedName name="solver_lhs520" localSheetId="0" hidden="1">'User Preferences'!$M$6</definedName>
    <definedName name="solver_lhs521" localSheetId="0" hidden="1">'User Preferences'!$M$7</definedName>
    <definedName name="solver_lhs522" localSheetId="0" hidden="1">'User Preferences'!$M$8</definedName>
    <definedName name="solver_lhs523" localSheetId="0" hidden="1">'User Preferences'!$M$9</definedName>
    <definedName name="solver_lhs524" localSheetId="0" hidden="1">'User Preferences'!$M$10</definedName>
    <definedName name="solver_lhs525" localSheetId="0" hidden="1">'User Preferences'!$M$11</definedName>
    <definedName name="solver_lhs526" localSheetId="0" hidden="1">'User Preferences'!$M$2</definedName>
    <definedName name="solver_lhs527" localSheetId="0" hidden="1">'User Preferences'!$M$3</definedName>
    <definedName name="solver_lhs528" localSheetId="0" hidden="1">'User Preferences'!$M$4</definedName>
    <definedName name="solver_lhs529" localSheetId="0" hidden="1">'User Preferences'!$M$5</definedName>
    <definedName name="solver_lhs53" localSheetId="0" hidden="1">'User Preferences'!$O$12</definedName>
    <definedName name="solver_lhs530" localSheetId="0" hidden="1">'User Preferences'!$M$6</definedName>
    <definedName name="solver_lhs531" localSheetId="0" hidden="1">'User Preferences'!$M$7</definedName>
    <definedName name="solver_lhs532" localSheetId="0" hidden="1">'User Preferences'!$M$8</definedName>
    <definedName name="solver_lhs533" localSheetId="0" hidden="1">'User Preferences'!$M$9</definedName>
    <definedName name="solver_lhs534" localSheetId="0" hidden="1">'User Preferences'!$M$10</definedName>
    <definedName name="solver_lhs535" localSheetId="0" hidden="1">'User Preferences'!$M$11</definedName>
    <definedName name="solver_lhs536" localSheetId="0" hidden="1">'User Preferences'!$L$12</definedName>
    <definedName name="solver_lhs537" localSheetId="0" hidden="1">'User Preferences'!$M$2</definedName>
    <definedName name="solver_lhs538" localSheetId="0" hidden="1">'User Preferences'!$M$3</definedName>
    <definedName name="solver_lhs539" localSheetId="0" hidden="1">'User Preferences'!$M$4</definedName>
    <definedName name="solver_lhs54" localSheetId="0" hidden="1">'User Preferences'!$M$2</definedName>
    <definedName name="solver_lhs540" localSheetId="0" hidden="1">'User Preferences'!$M$5</definedName>
    <definedName name="solver_lhs541" localSheetId="0" hidden="1">'User Preferences'!$M$6</definedName>
    <definedName name="solver_lhs542" localSheetId="0" hidden="1">'User Preferences'!$M$7</definedName>
    <definedName name="solver_lhs543" localSheetId="0" hidden="1">'User Preferences'!$M$8</definedName>
    <definedName name="solver_lhs544" localSheetId="0" hidden="1">'User Preferences'!$M$9</definedName>
    <definedName name="solver_lhs545" localSheetId="0" hidden="1">'User Preferences'!$M$10</definedName>
    <definedName name="solver_lhs546" localSheetId="0" hidden="1">'User Preferences'!$M$11</definedName>
    <definedName name="solver_lhs547" localSheetId="0" hidden="1">'User Preferences'!$M$2</definedName>
    <definedName name="solver_lhs548" localSheetId="0" hidden="1">'User Preferences'!$M$3</definedName>
    <definedName name="solver_lhs549" localSheetId="0" hidden="1">'User Preferences'!$M$4</definedName>
    <definedName name="solver_lhs55" localSheetId="0" hidden="1">'User Preferences'!$M$3</definedName>
    <definedName name="solver_lhs550" localSheetId="0" hidden="1">'User Preferences'!$M$5</definedName>
    <definedName name="solver_lhs551" localSheetId="0" hidden="1">'User Preferences'!$M$6</definedName>
    <definedName name="solver_lhs552" localSheetId="0" hidden="1">'User Preferences'!$M$7</definedName>
    <definedName name="solver_lhs553" localSheetId="0" hidden="1">'User Preferences'!$M$8</definedName>
    <definedName name="solver_lhs554" localSheetId="0" hidden="1">'User Preferences'!$M$9</definedName>
    <definedName name="solver_lhs555" localSheetId="0" hidden="1">'User Preferences'!$M$10</definedName>
    <definedName name="solver_lhs556" localSheetId="0" hidden="1">'User Preferences'!$M$11</definedName>
    <definedName name="solver_lhs557" localSheetId="0" hidden="1">'User Preferences'!$J$2</definedName>
    <definedName name="solver_lhs558" localSheetId="0" hidden="1">'User Preferences'!$J$3</definedName>
    <definedName name="solver_lhs559" localSheetId="0" hidden="1">'User Preferences'!$J$4</definedName>
    <definedName name="solver_lhs56" localSheetId="0" hidden="1">'User Preferences'!$M$4</definedName>
    <definedName name="solver_lhs560" localSheetId="0" hidden="1">'User Preferences'!$J$5</definedName>
    <definedName name="solver_lhs561" localSheetId="0" hidden="1">'User Preferences'!$J$6</definedName>
    <definedName name="solver_lhs562" localSheetId="0" hidden="1">'User Preferences'!$J$7</definedName>
    <definedName name="solver_lhs563" localSheetId="0" hidden="1">'User Preferences'!$J$8</definedName>
    <definedName name="solver_lhs564" localSheetId="0" hidden="1">'User Preferences'!$J$9</definedName>
    <definedName name="solver_lhs565" localSheetId="0" hidden="1">'User Preferences'!$J$10</definedName>
    <definedName name="solver_lhs566" localSheetId="0" hidden="1">'User Preferences'!$J$11</definedName>
    <definedName name="solver_lhs567" localSheetId="0" hidden="1">'User Preferences'!$O$12</definedName>
    <definedName name="solver_lhs568" localSheetId="0" hidden="1">'User Preferences'!$M$2</definedName>
    <definedName name="solver_lhs569" localSheetId="0" hidden="1">'User Preferences'!$M$3</definedName>
    <definedName name="solver_lhs57" localSheetId="0" hidden="1">'User Preferences'!$M$5</definedName>
    <definedName name="solver_lhs570" localSheetId="0" hidden="1">'User Preferences'!$M$4</definedName>
    <definedName name="solver_lhs571" localSheetId="0" hidden="1">'User Preferences'!$M$5</definedName>
    <definedName name="solver_lhs572" localSheetId="0" hidden="1">'User Preferences'!$M$6</definedName>
    <definedName name="solver_lhs573" localSheetId="0" hidden="1">'User Preferences'!$M$7</definedName>
    <definedName name="solver_lhs574" localSheetId="0" hidden="1">'User Preferences'!$M$8</definedName>
    <definedName name="solver_lhs575" localSheetId="0" hidden="1">'User Preferences'!$M$9</definedName>
    <definedName name="solver_lhs576" localSheetId="0" hidden="1">'User Preferences'!$M$10</definedName>
    <definedName name="solver_lhs577" localSheetId="0" hidden="1">'User Preferences'!$M$11</definedName>
    <definedName name="solver_lhs578" localSheetId="0" hidden="1">'User Preferences'!$M$2</definedName>
    <definedName name="solver_lhs579" localSheetId="0" hidden="1">'User Preferences'!$M$3</definedName>
    <definedName name="solver_lhs58" localSheetId="0" hidden="1">'User Preferences'!$M$6</definedName>
    <definedName name="solver_lhs580" localSheetId="0" hidden="1">'User Preferences'!$M$4</definedName>
    <definedName name="solver_lhs581" localSheetId="0" hidden="1">'User Preferences'!$M$5</definedName>
    <definedName name="solver_lhs582" localSheetId="0" hidden="1">'User Preferences'!$M$6</definedName>
    <definedName name="solver_lhs583" localSheetId="0" hidden="1">'User Preferences'!$M$7</definedName>
    <definedName name="solver_lhs584" localSheetId="0" hidden="1">'User Preferences'!$M$8</definedName>
    <definedName name="solver_lhs585" localSheetId="0" hidden="1">'User Preferences'!$M$9</definedName>
    <definedName name="solver_lhs586" localSheetId="0" hidden="1">'User Preferences'!$M$10</definedName>
    <definedName name="solver_lhs587" localSheetId="0" hidden="1">'User Preferences'!$M$11</definedName>
    <definedName name="solver_lhs588" localSheetId="0" hidden="1">'User Preferences'!$J$2</definedName>
    <definedName name="solver_lhs589" localSheetId="0" hidden="1">'User Preferences'!$J$3</definedName>
    <definedName name="solver_lhs59" localSheetId="0" hidden="1">'User Preferences'!$M$7</definedName>
    <definedName name="solver_lhs590" localSheetId="0" hidden="1">'User Preferences'!$J$4</definedName>
    <definedName name="solver_lhs591" localSheetId="0" hidden="1">'User Preferences'!$J$5</definedName>
    <definedName name="solver_lhs592" localSheetId="0" hidden="1">'User Preferences'!$J$6</definedName>
    <definedName name="solver_lhs593" localSheetId="0" hidden="1">'User Preferences'!$J$7</definedName>
    <definedName name="solver_lhs594" localSheetId="0" hidden="1">'User Preferences'!$J$8</definedName>
    <definedName name="solver_lhs595" localSheetId="0" hidden="1">'User Preferences'!$J$9</definedName>
    <definedName name="solver_lhs596" localSheetId="0" hidden="1">'User Preferences'!$J$10</definedName>
    <definedName name="solver_lhs597" localSheetId="0" hidden="1">'User Preferences'!$J$11</definedName>
    <definedName name="solver_lhs598" localSheetId="0" hidden="1">'User Preferences'!$O$12</definedName>
    <definedName name="solver_lhs599" localSheetId="0" hidden="1">'User Preferences'!$M$2</definedName>
    <definedName name="solver_lhs6" localSheetId="0" hidden="1">'User Preferences'!$M$7</definedName>
    <definedName name="solver_lhs60" localSheetId="0" hidden="1">'User Preferences'!$M$8</definedName>
    <definedName name="solver_lhs600" localSheetId="0" hidden="1">'User Preferences'!$M$3</definedName>
    <definedName name="solver_lhs601" localSheetId="0" hidden="1">'User Preferences'!$M$4</definedName>
    <definedName name="solver_lhs602" localSheetId="0" hidden="1">'User Preferences'!$M$5</definedName>
    <definedName name="solver_lhs603" localSheetId="0" hidden="1">'User Preferences'!$M$6</definedName>
    <definedName name="solver_lhs604" localSheetId="0" hidden="1">'User Preferences'!$M$7</definedName>
    <definedName name="solver_lhs605" localSheetId="0" hidden="1">'User Preferences'!$M$8</definedName>
    <definedName name="solver_lhs606" localSheetId="0" hidden="1">'User Preferences'!$M$9</definedName>
    <definedName name="solver_lhs607" localSheetId="0" hidden="1">'User Preferences'!$M$10</definedName>
    <definedName name="solver_lhs608" localSheetId="0" hidden="1">'User Preferences'!$M$11</definedName>
    <definedName name="solver_lhs609" localSheetId="0" hidden="1">'User Preferences'!$M$2</definedName>
    <definedName name="solver_lhs61" localSheetId="0" hidden="1">'User Preferences'!$M$9</definedName>
    <definedName name="solver_lhs610" localSheetId="0" hidden="1">'User Preferences'!$M$3</definedName>
    <definedName name="solver_lhs611" localSheetId="0" hidden="1">'User Preferences'!$M$4</definedName>
    <definedName name="solver_lhs612" localSheetId="0" hidden="1">'User Preferences'!$M$5</definedName>
    <definedName name="solver_lhs613" localSheetId="0" hidden="1">'User Preferences'!$M$6</definedName>
    <definedName name="solver_lhs614" localSheetId="0" hidden="1">'User Preferences'!$M$7</definedName>
    <definedName name="solver_lhs615" localSheetId="0" hidden="1">'User Preferences'!$M$8</definedName>
    <definedName name="solver_lhs616" localSheetId="0" hidden="1">'User Preferences'!$M$9</definedName>
    <definedName name="solver_lhs617" localSheetId="0" hidden="1">'User Preferences'!$M$10</definedName>
    <definedName name="solver_lhs618" localSheetId="0" hidden="1">'User Preferences'!$M$11</definedName>
    <definedName name="solver_lhs619" localSheetId="0" hidden="1">'User Preferences'!$J$2</definedName>
    <definedName name="solver_lhs62" localSheetId="0" hidden="1">'User Preferences'!$M$10</definedName>
    <definedName name="solver_lhs620" localSheetId="0" hidden="1">'User Preferences'!$J$3</definedName>
    <definedName name="solver_lhs621" localSheetId="0" hidden="1">'User Preferences'!$J$4</definedName>
    <definedName name="solver_lhs622" localSheetId="0" hidden="1">'User Preferences'!$J$5</definedName>
    <definedName name="solver_lhs623" localSheetId="0" hidden="1">'User Preferences'!$J$6</definedName>
    <definedName name="solver_lhs624" localSheetId="0" hidden="1">'User Preferences'!$J$7</definedName>
    <definedName name="solver_lhs625" localSheetId="0" hidden="1">'User Preferences'!$J$8</definedName>
    <definedName name="solver_lhs626" localSheetId="0" hidden="1">'User Preferences'!$J$9</definedName>
    <definedName name="solver_lhs627" localSheetId="0" hidden="1">'User Preferences'!$J$10</definedName>
    <definedName name="solver_lhs628" localSheetId="0" hidden="1">'User Preferences'!$J$11</definedName>
    <definedName name="solver_lhs629" localSheetId="0" hidden="1">'User Preferences'!$O$12</definedName>
    <definedName name="solver_lhs63" localSheetId="0" hidden="1">'User Preferences'!$M$11</definedName>
    <definedName name="solver_lhs630" localSheetId="0" hidden="1">'User Preferences'!$M$2</definedName>
    <definedName name="solver_lhs631" localSheetId="0" hidden="1">'User Preferences'!$M$3</definedName>
    <definedName name="solver_lhs632" localSheetId="0" hidden="1">'User Preferences'!$M$4</definedName>
    <definedName name="solver_lhs633" localSheetId="0" hidden="1">'User Preferences'!$M$5</definedName>
    <definedName name="solver_lhs634" localSheetId="0" hidden="1">'User Preferences'!$M$6</definedName>
    <definedName name="solver_lhs635" localSheetId="0" hidden="1">'User Preferences'!$M$7</definedName>
    <definedName name="solver_lhs636" localSheetId="0" hidden="1">'User Preferences'!$M$8</definedName>
    <definedName name="solver_lhs637" localSheetId="0" hidden="1">'User Preferences'!$M$9</definedName>
    <definedName name="solver_lhs638" localSheetId="0" hidden="1">'User Preferences'!$M$10</definedName>
    <definedName name="solver_lhs639" localSheetId="0" hidden="1">'User Preferences'!$M$11</definedName>
    <definedName name="solver_lhs64" localSheetId="0" hidden="1">'User Preferences'!$M$2</definedName>
    <definedName name="solver_lhs640" localSheetId="0" hidden="1">'User Preferences'!$M$2</definedName>
    <definedName name="solver_lhs641" localSheetId="0" hidden="1">'User Preferences'!$M$3</definedName>
    <definedName name="solver_lhs642" localSheetId="0" hidden="1">'User Preferences'!$M$4</definedName>
    <definedName name="solver_lhs643" localSheetId="0" hidden="1">'User Preferences'!$M$5</definedName>
    <definedName name="solver_lhs644" localSheetId="0" hidden="1">'User Preferences'!$M$6</definedName>
    <definedName name="solver_lhs645" localSheetId="0" hidden="1">'User Preferences'!$M$7</definedName>
    <definedName name="solver_lhs646" localSheetId="0" hidden="1">'User Preferences'!$M$8</definedName>
    <definedName name="solver_lhs647" localSheetId="0" hidden="1">'User Preferences'!$M$9</definedName>
    <definedName name="solver_lhs648" localSheetId="0" hidden="1">'User Preferences'!$M$10</definedName>
    <definedName name="solver_lhs649" localSheetId="0" hidden="1">'User Preferences'!$M$11</definedName>
    <definedName name="solver_lhs65" localSheetId="0" hidden="1">'User Preferences'!$M$3</definedName>
    <definedName name="solver_lhs650" localSheetId="0" hidden="1">'User Preferences'!$J$2</definedName>
    <definedName name="solver_lhs651" localSheetId="0" hidden="1">'User Preferences'!$J$3</definedName>
    <definedName name="solver_lhs652" localSheetId="0" hidden="1">'User Preferences'!$J$4</definedName>
    <definedName name="solver_lhs653" localSheetId="0" hidden="1">'User Preferences'!$J$5</definedName>
    <definedName name="solver_lhs654" localSheetId="0" hidden="1">'User Preferences'!$J$6</definedName>
    <definedName name="solver_lhs655" localSheetId="0" hidden="1">'User Preferences'!$J$7</definedName>
    <definedName name="solver_lhs656" localSheetId="0" hidden="1">'User Preferences'!$J$8</definedName>
    <definedName name="solver_lhs657" localSheetId="0" hidden="1">'User Preferences'!$J$9</definedName>
    <definedName name="solver_lhs658" localSheetId="0" hidden="1">'User Preferences'!$J$10</definedName>
    <definedName name="solver_lhs659" localSheetId="0" hidden="1">'User Preferences'!$J$11</definedName>
    <definedName name="solver_lhs66" localSheetId="0" hidden="1">'User Preferences'!$M$4</definedName>
    <definedName name="solver_lhs660" localSheetId="0" hidden="1">'User Preferences'!$O$12</definedName>
    <definedName name="solver_lhs661" localSheetId="0" hidden="1">'User Preferences'!$M$2</definedName>
    <definedName name="solver_lhs662" localSheetId="0" hidden="1">'User Preferences'!$M$3</definedName>
    <definedName name="solver_lhs663" localSheetId="0" hidden="1">'User Preferences'!$M$4</definedName>
    <definedName name="solver_lhs664" localSheetId="0" hidden="1">'User Preferences'!$M$5</definedName>
    <definedName name="solver_lhs665" localSheetId="0" hidden="1">'User Preferences'!$M$6</definedName>
    <definedName name="solver_lhs666" localSheetId="0" hidden="1">'User Preferences'!$M$7</definedName>
    <definedName name="solver_lhs667" localSheetId="0" hidden="1">'User Preferences'!$M$8</definedName>
    <definedName name="solver_lhs668" localSheetId="0" hidden="1">'User Preferences'!$M$9</definedName>
    <definedName name="solver_lhs669" localSheetId="0" hidden="1">'User Preferences'!$M$10</definedName>
    <definedName name="solver_lhs67" localSheetId="0" hidden="1">'User Preferences'!$M$5</definedName>
    <definedName name="solver_lhs670" localSheetId="0" hidden="1">'User Preferences'!$M$11</definedName>
    <definedName name="solver_lhs671" localSheetId="0" hidden="1">'User Preferences'!$M$2</definedName>
    <definedName name="solver_lhs672" localSheetId="0" hidden="1">'User Preferences'!$M$3</definedName>
    <definedName name="solver_lhs673" localSheetId="0" hidden="1">'User Preferences'!$M$4</definedName>
    <definedName name="solver_lhs674" localSheetId="0" hidden="1">'User Preferences'!$M$5</definedName>
    <definedName name="solver_lhs675" localSheetId="0" hidden="1">'User Preferences'!$M$6</definedName>
    <definedName name="solver_lhs676" localSheetId="0" hidden="1">'User Preferences'!$M$7</definedName>
    <definedName name="solver_lhs677" localSheetId="0" hidden="1">'User Preferences'!$M$8</definedName>
    <definedName name="solver_lhs678" localSheetId="0" hidden="1">'User Preferences'!$M$9</definedName>
    <definedName name="solver_lhs679" localSheetId="0" hidden="1">'User Preferences'!$M$10</definedName>
    <definedName name="solver_lhs68" localSheetId="0" hidden="1">'User Preferences'!$M$6</definedName>
    <definedName name="solver_lhs680" localSheetId="0" hidden="1">'User Preferences'!$M$11</definedName>
    <definedName name="solver_lhs681" localSheetId="0" hidden="1">'User Preferences'!$J$2</definedName>
    <definedName name="solver_lhs682" localSheetId="0" hidden="1">'User Preferences'!$J$3</definedName>
    <definedName name="solver_lhs683" localSheetId="0" hidden="1">'User Preferences'!$J$4</definedName>
    <definedName name="solver_lhs684" localSheetId="0" hidden="1">'User Preferences'!$J$5</definedName>
    <definedName name="solver_lhs685" localSheetId="0" hidden="1">'User Preferences'!$J$6</definedName>
    <definedName name="solver_lhs686" localSheetId="0" hidden="1">'User Preferences'!$J$7</definedName>
    <definedName name="solver_lhs687" localSheetId="0" hidden="1">'User Preferences'!$J$8</definedName>
    <definedName name="solver_lhs688" localSheetId="0" hidden="1">'User Preferences'!$J$9</definedName>
    <definedName name="solver_lhs689" localSheetId="0" hidden="1">'User Preferences'!$J$10</definedName>
    <definedName name="solver_lhs69" localSheetId="0" hidden="1">'User Preferences'!$M$7</definedName>
    <definedName name="solver_lhs690" localSheetId="0" hidden="1">'User Preferences'!$J$11</definedName>
    <definedName name="solver_lhs691" localSheetId="0" hidden="1">'User Preferences'!$O$12</definedName>
    <definedName name="solver_lhs692" localSheetId="0" hidden="1">'User Preferences'!$M$2</definedName>
    <definedName name="solver_lhs693" localSheetId="0" hidden="1">'User Preferences'!$M$3</definedName>
    <definedName name="solver_lhs694" localSheetId="0" hidden="1">'User Preferences'!$M$4</definedName>
    <definedName name="solver_lhs695" localSheetId="0" hidden="1">'User Preferences'!$M$5</definedName>
    <definedName name="solver_lhs696" localSheetId="0" hidden="1">'User Preferences'!$M$6</definedName>
    <definedName name="solver_lhs697" localSheetId="0" hidden="1">'User Preferences'!$M$7</definedName>
    <definedName name="solver_lhs698" localSheetId="0" hidden="1">'User Preferences'!$M$8</definedName>
    <definedName name="solver_lhs699" localSheetId="0" hidden="1">'User Preferences'!$M$9</definedName>
    <definedName name="solver_lhs7" localSheetId="0" hidden="1">'User Preferences'!$M$8</definedName>
    <definedName name="solver_lhs70" localSheetId="0" hidden="1">'User Preferences'!$M$8</definedName>
    <definedName name="solver_lhs700" localSheetId="0" hidden="1">'User Preferences'!$M$10</definedName>
    <definedName name="solver_lhs701" localSheetId="0" hidden="1">'User Preferences'!$M$11</definedName>
    <definedName name="solver_lhs702" localSheetId="0" hidden="1">'User Preferences'!$M$2</definedName>
    <definedName name="solver_lhs703" localSheetId="0" hidden="1">'User Preferences'!$M$3</definedName>
    <definedName name="solver_lhs704" localSheetId="0" hidden="1">'User Preferences'!$M$4</definedName>
    <definedName name="solver_lhs705" localSheetId="0" hidden="1">'User Preferences'!$M$5</definedName>
    <definedName name="solver_lhs706" localSheetId="0" hidden="1">'User Preferences'!$M$6</definedName>
    <definedName name="solver_lhs707" localSheetId="0" hidden="1">'User Preferences'!$M$7</definedName>
    <definedName name="solver_lhs708" localSheetId="0" hidden="1">'User Preferences'!$M$8</definedName>
    <definedName name="solver_lhs709" localSheetId="0" hidden="1">'User Preferences'!$M$9</definedName>
    <definedName name="solver_lhs71" localSheetId="0" hidden="1">'User Preferences'!$M$9</definedName>
    <definedName name="solver_lhs710" localSheetId="0" hidden="1">'User Preferences'!$M$10</definedName>
    <definedName name="solver_lhs711" localSheetId="0" hidden="1">'User Preferences'!$M$11</definedName>
    <definedName name="solver_lhs712" localSheetId="0" hidden="1">'User Preferences'!$J$2</definedName>
    <definedName name="solver_lhs713" localSheetId="0" hidden="1">'User Preferences'!$J$3</definedName>
    <definedName name="solver_lhs714" localSheetId="0" hidden="1">'User Preferences'!$J$4</definedName>
    <definedName name="solver_lhs715" localSheetId="0" hidden="1">'User Preferences'!$J$5</definedName>
    <definedName name="solver_lhs716" localSheetId="0" hidden="1">'User Preferences'!$J$6</definedName>
    <definedName name="solver_lhs717" localSheetId="0" hidden="1">'User Preferences'!$J$7</definedName>
    <definedName name="solver_lhs718" localSheetId="0" hidden="1">'User Preferences'!$J$8</definedName>
    <definedName name="solver_lhs719" localSheetId="0" hidden="1">'User Preferences'!$J$9</definedName>
    <definedName name="solver_lhs72" localSheetId="0" hidden="1">'User Preferences'!$M$10</definedName>
    <definedName name="solver_lhs720" localSheetId="0" hidden="1">'User Preferences'!$J$10</definedName>
    <definedName name="solver_lhs721" localSheetId="0" hidden="1">'User Preferences'!$J$11</definedName>
    <definedName name="solver_lhs722" localSheetId="0" hidden="1">'User Preferences'!$O$12</definedName>
    <definedName name="solver_lhs723" localSheetId="0" hidden="1">'User Preferences'!$M$2</definedName>
    <definedName name="solver_lhs724" localSheetId="0" hidden="1">'User Preferences'!$M$3</definedName>
    <definedName name="solver_lhs725" localSheetId="0" hidden="1">'User Preferences'!$M$4</definedName>
    <definedName name="solver_lhs726" localSheetId="0" hidden="1">'User Preferences'!$M$5</definedName>
    <definedName name="solver_lhs727" localSheetId="0" hidden="1">'User Preferences'!$M$6</definedName>
    <definedName name="solver_lhs728" localSheetId="0" hidden="1">'User Preferences'!$M$7</definedName>
    <definedName name="solver_lhs729" localSheetId="0" hidden="1">'User Preferences'!$M$8</definedName>
    <definedName name="solver_lhs73" localSheetId="0" hidden="1">'User Preferences'!$M$11</definedName>
    <definedName name="solver_lhs730" localSheetId="0" hidden="1">'User Preferences'!$M$9</definedName>
    <definedName name="solver_lhs731" localSheetId="0" hidden="1">'User Preferences'!$M$10</definedName>
    <definedName name="solver_lhs732" localSheetId="0" hidden="1">'User Preferences'!$M$11</definedName>
    <definedName name="solver_lhs733" localSheetId="0" hidden="1">'User Preferences'!$M$2</definedName>
    <definedName name="solver_lhs734" localSheetId="0" hidden="1">'User Preferences'!$M$3</definedName>
    <definedName name="solver_lhs735" localSheetId="0" hidden="1">'User Preferences'!$M$4</definedName>
    <definedName name="solver_lhs736" localSheetId="0" hidden="1">'User Preferences'!$M$5</definedName>
    <definedName name="solver_lhs737" localSheetId="0" hidden="1">'User Preferences'!$M$6</definedName>
    <definedName name="solver_lhs738" localSheetId="0" hidden="1">'User Preferences'!$M$7</definedName>
    <definedName name="solver_lhs739" localSheetId="0" hidden="1">'User Preferences'!$M$8</definedName>
    <definedName name="solver_lhs74" localSheetId="0" hidden="1">'User Preferences'!$O$12</definedName>
    <definedName name="solver_lhs740" localSheetId="0" hidden="1">'User Preferences'!$M$9</definedName>
    <definedName name="solver_lhs741" localSheetId="0" hidden="1">'User Preferences'!$M$10</definedName>
    <definedName name="solver_lhs742" localSheetId="0" hidden="1">'User Preferences'!$M$11</definedName>
    <definedName name="solver_lhs743" localSheetId="0" hidden="1">'User Preferences'!$J$2</definedName>
    <definedName name="solver_lhs744" localSheetId="0" hidden="1">'User Preferences'!$J$3</definedName>
    <definedName name="solver_lhs745" localSheetId="0" hidden="1">'User Preferences'!$J$4</definedName>
    <definedName name="solver_lhs746" localSheetId="0" hidden="1">'User Preferences'!$J$5</definedName>
    <definedName name="solver_lhs747" localSheetId="0" hidden="1">'User Preferences'!$J$6</definedName>
    <definedName name="solver_lhs748" localSheetId="0" hidden="1">'User Preferences'!$J$7</definedName>
    <definedName name="solver_lhs749" localSheetId="0" hidden="1">'User Preferences'!$J$8</definedName>
    <definedName name="solver_lhs75" localSheetId="0" hidden="1">'User Preferences'!$M$2</definedName>
    <definedName name="solver_lhs750" localSheetId="0" hidden="1">'User Preferences'!$J$9</definedName>
    <definedName name="solver_lhs751" localSheetId="0" hidden="1">'User Preferences'!$J$10</definedName>
    <definedName name="solver_lhs752" localSheetId="0" hidden="1">'User Preferences'!$J$11</definedName>
    <definedName name="solver_lhs753" localSheetId="0" hidden="1">'User Preferences'!$O$12</definedName>
    <definedName name="solver_lhs754" localSheetId="0" hidden="1">'User Preferences'!$M$2</definedName>
    <definedName name="solver_lhs755" localSheetId="0" hidden="1">'User Preferences'!$M$3</definedName>
    <definedName name="solver_lhs756" localSheetId="0" hidden="1">'User Preferences'!$M$4</definedName>
    <definedName name="solver_lhs757" localSheetId="0" hidden="1">'User Preferences'!$M$5</definedName>
    <definedName name="solver_lhs758" localSheetId="0" hidden="1">'User Preferences'!$M$6</definedName>
    <definedName name="solver_lhs759" localSheetId="0" hidden="1">'User Preferences'!$M$7</definedName>
    <definedName name="solver_lhs76" localSheetId="0" hidden="1">'User Preferences'!$M$3</definedName>
    <definedName name="solver_lhs760" localSheetId="0" hidden="1">'User Preferences'!$M$8</definedName>
    <definedName name="solver_lhs761" localSheetId="0" hidden="1">'User Preferences'!$M$9</definedName>
    <definedName name="solver_lhs762" localSheetId="0" hidden="1">'User Preferences'!$M$10</definedName>
    <definedName name="solver_lhs763" localSheetId="0" hidden="1">'User Preferences'!$M$11</definedName>
    <definedName name="solver_lhs764" localSheetId="0" hidden="1">'User Preferences'!$M$2</definedName>
    <definedName name="solver_lhs765" localSheetId="0" hidden="1">'User Preferences'!$M$3</definedName>
    <definedName name="solver_lhs766" localSheetId="0" hidden="1">'User Preferences'!$M$4</definedName>
    <definedName name="solver_lhs767" localSheetId="0" hidden="1">'User Preferences'!$M$5</definedName>
    <definedName name="solver_lhs768" localSheetId="0" hidden="1">'User Preferences'!$M$6</definedName>
    <definedName name="solver_lhs769" localSheetId="0" hidden="1">'User Preferences'!$M$7</definedName>
    <definedName name="solver_lhs77" localSheetId="0" hidden="1">'User Preferences'!$M$4</definedName>
    <definedName name="solver_lhs770" localSheetId="0" hidden="1">'User Preferences'!$M$8</definedName>
    <definedName name="solver_lhs771" localSheetId="0" hidden="1">'User Preferences'!$M$9</definedName>
    <definedName name="solver_lhs772" localSheetId="0" hidden="1">'User Preferences'!$M$10</definedName>
    <definedName name="solver_lhs773" localSheetId="0" hidden="1">'User Preferences'!$M$11</definedName>
    <definedName name="solver_lhs774" localSheetId="0" hidden="1">'User Preferences'!$J$2</definedName>
    <definedName name="solver_lhs775" localSheetId="0" hidden="1">'User Preferences'!$J$3</definedName>
    <definedName name="solver_lhs776" localSheetId="0" hidden="1">'User Preferences'!$J$4</definedName>
    <definedName name="solver_lhs777" localSheetId="0" hidden="1">'User Preferences'!$J$5</definedName>
    <definedName name="solver_lhs778" localSheetId="0" hidden="1">'User Preferences'!$J$6</definedName>
    <definedName name="solver_lhs779" localSheetId="0" hidden="1">'User Preferences'!$J$7</definedName>
    <definedName name="solver_lhs78" localSheetId="0" hidden="1">'User Preferences'!$M$5</definedName>
    <definedName name="solver_lhs780" localSheetId="0" hidden="1">'User Preferences'!$J$8</definedName>
    <definedName name="solver_lhs781" localSheetId="0" hidden="1">'User Preferences'!$J$9</definedName>
    <definedName name="solver_lhs782" localSheetId="0" hidden="1">'User Preferences'!$J$10</definedName>
    <definedName name="solver_lhs783" localSheetId="0" hidden="1">'User Preferences'!$J$11</definedName>
    <definedName name="solver_lhs784" localSheetId="0" hidden="1">'User Preferences'!$O$12</definedName>
    <definedName name="solver_lhs785" localSheetId="0" hidden="1">'User Preferences'!$M$2</definedName>
    <definedName name="solver_lhs786" localSheetId="0" hidden="1">'User Preferences'!$M$3</definedName>
    <definedName name="solver_lhs787" localSheetId="0" hidden="1">'User Preferences'!$M$4</definedName>
    <definedName name="solver_lhs788" localSheetId="0" hidden="1">'User Preferences'!$M$5</definedName>
    <definedName name="solver_lhs789" localSheetId="0" hidden="1">'User Preferences'!$M$6</definedName>
    <definedName name="solver_lhs79" localSheetId="0" hidden="1">'User Preferences'!$M$6</definedName>
    <definedName name="solver_lhs790" localSheetId="0" hidden="1">'User Preferences'!$M$7</definedName>
    <definedName name="solver_lhs791" localSheetId="0" hidden="1">'User Preferences'!$M$8</definedName>
    <definedName name="solver_lhs792" localSheetId="0" hidden="1">'User Preferences'!$M$9</definedName>
    <definedName name="solver_lhs793" localSheetId="0" hidden="1">'User Preferences'!$M$10</definedName>
    <definedName name="solver_lhs794" localSheetId="0" hidden="1">'User Preferences'!$M$11</definedName>
    <definedName name="solver_lhs795" localSheetId="0" hidden="1">'User Preferences'!$M$2</definedName>
    <definedName name="solver_lhs796" localSheetId="0" hidden="1">'User Preferences'!$M$3</definedName>
    <definedName name="solver_lhs797" localSheetId="0" hidden="1">'User Preferences'!$M$4</definedName>
    <definedName name="solver_lhs798" localSheetId="0" hidden="1">'User Preferences'!$M$5</definedName>
    <definedName name="solver_lhs799" localSheetId="0" hidden="1">'User Preferences'!$M$6</definedName>
    <definedName name="solver_lhs8" localSheetId="0" hidden="1">'User Preferences'!$M$9</definedName>
    <definedName name="solver_lhs80" localSheetId="0" hidden="1">'User Preferences'!$M$7</definedName>
    <definedName name="solver_lhs800" localSheetId="0" hidden="1">'User Preferences'!$M$7</definedName>
    <definedName name="solver_lhs801" localSheetId="0" hidden="1">'User Preferences'!$M$8</definedName>
    <definedName name="solver_lhs802" localSheetId="0" hidden="1">'User Preferences'!$M$9</definedName>
    <definedName name="solver_lhs803" localSheetId="0" hidden="1">'User Preferences'!$M$10</definedName>
    <definedName name="solver_lhs804" localSheetId="0" hidden="1">'User Preferences'!$M$11</definedName>
    <definedName name="solver_lhs805" localSheetId="0" hidden="1">'User Preferences'!$J$2</definedName>
    <definedName name="solver_lhs806" localSheetId="0" hidden="1">'User Preferences'!$J$3</definedName>
    <definedName name="solver_lhs807" localSheetId="0" hidden="1">'User Preferences'!$J$4</definedName>
    <definedName name="solver_lhs808" localSheetId="0" hidden="1">'User Preferences'!$J$5</definedName>
    <definedName name="solver_lhs809" localSheetId="0" hidden="1">'User Preferences'!$J$6</definedName>
    <definedName name="solver_lhs81" localSheetId="0" hidden="1">'User Preferences'!$M$8</definedName>
    <definedName name="solver_lhs810" localSheetId="0" hidden="1">'User Preferences'!$J$7</definedName>
    <definedName name="solver_lhs811" localSheetId="0" hidden="1">'User Preferences'!$J$8</definedName>
    <definedName name="solver_lhs812" localSheetId="0" hidden="1">'User Preferences'!$J$9</definedName>
    <definedName name="solver_lhs813" localSheetId="0" hidden="1">'User Preferences'!$J$10</definedName>
    <definedName name="solver_lhs814" localSheetId="0" hidden="1">'User Preferences'!$J$11</definedName>
    <definedName name="solver_lhs815" localSheetId="0" hidden="1">'User Preferences'!$O$12</definedName>
    <definedName name="solver_lhs816" localSheetId="0" hidden="1">'User Preferences'!$M$2</definedName>
    <definedName name="solver_lhs817" localSheetId="0" hidden="1">'User Preferences'!$M$3</definedName>
    <definedName name="solver_lhs818" localSheetId="0" hidden="1">'User Preferences'!$M$4</definedName>
    <definedName name="solver_lhs819" localSheetId="0" hidden="1">'User Preferences'!$M$5</definedName>
    <definedName name="solver_lhs82" localSheetId="0" hidden="1">'User Preferences'!$M$9</definedName>
    <definedName name="solver_lhs820" localSheetId="0" hidden="1">'User Preferences'!$M$6</definedName>
    <definedName name="solver_lhs821" localSheetId="0" hidden="1">'User Preferences'!$M$7</definedName>
    <definedName name="solver_lhs822" localSheetId="0" hidden="1">'User Preferences'!$M$8</definedName>
    <definedName name="solver_lhs823" localSheetId="0" hidden="1">'User Preferences'!$M$9</definedName>
    <definedName name="solver_lhs824" localSheetId="0" hidden="1">'User Preferences'!$M$10</definedName>
    <definedName name="solver_lhs825" localSheetId="0" hidden="1">'User Preferences'!$M$11</definedName>
    <definedName name="solver_lhs826" localSheetId="0" hidden="1">'User Preferences'!$M$2</definedName>
    <definedName name="solver_lhs827" localSheetId="0" hidden="1">'User Preferences'!$M$3</definedName>
    <definedName name="solver_lhs828" localSheetId="0" hidden="1">'User Preferences'!$M$4</definedName>
    <definedName name="solver_lhs829" localSheetId="0" hidden="1">'User Preferences'!$M$5</definedName>
    <definedName name="solver_lhs83" localSheetId="0" hidden="1">'User Preferences'!$M$10</definedName>
    <definedName name="solver_lhs830" localSheetId="0" hidden="1">'User Preferences'!$M$6</definedName>
    <definedName name="solver_lhs831" localSheetId="0" hidden="1">'User Preferences'!$M$7</definedName>
    <definedName name="solver_lhs832" localSheetId="0" hidden="1">'User Preferences'!$M$8</definedName>
    <definedName name="solver_lhs833" localSheetId="0" hidden="1">'User Preferences'!$M$9</definedName>
    <definedName name="solver_lhs834" localSheetId="0" hidden="1">'User Preferences'!$M$10</definedName>
    <definedName name="solver_lhs835" localSheetId="0" hidden="1">'User Preferences'!$M$11</definedName>
    <definedName name="solver_lhs836" localSheetId="0" hidden="1">'User Preferences'!$J$2</definedName>
    <definedName name="solver_lhs837" localSheetId="0" hidden="1">'User Preferences'!$J$3</definedName>
    <definedName name="solver_lhs838" localSheetId="0" hidden="1">'User Preferences'!$J$4</definedName>
    <definedName name="solver_lhs839" localSheetId="0" hidden="1">'User Preferences'!$J$5</definedName>
    <definedName name="solver_lhs84" localSheetId="0" hidden="1">'User Preferences'!$M$11</definedName>
    <definedName name="solver_lhs840" localSheetId="0" hidden="1">'User Preferences'!$J$6</definedName>
    <definedName name="solver_lhs841" localSheetId="0" hidden="1">'User Preferences'!$J$7</definedName>
    <definedName name="solver_lhs842" localSheetId="0" hidden="1">'User Preferences'!$J$8</definedName>
    <definedName name="solver_lhs843" localSheetId="0" hidden="1">'User Preferences'!$J$9</definedName>
    <definedName name="solver_lhs844" localSheetId="0" hidden="1">'User Preferences'!$J$10</definedName>
    <definedName name="solver_lhs845" localSheetId="0" hidden="1">'User Preferences'!$J$11</definedName>
    <definedName name="solver_lhs846" localSheetId="0" hidden="1">'User Preferences'!$O$12</definedName>
    <definedName name="solver_lhs847" localSheetId="0" hidden="1">'User Preferences'!$M$2</definedName>
    <definedName name="solver_lhs848" localSheetId="0" hidden="1">'User Preferences'!$M$3</definedName>
    <definedName name="solver_lhs849" localSheetId="0" hidden="1">'User Preferences'!$M$4</definedName>
    <definedName name="solver_lhs85" localSheetId="0" hidden="1">'User Preferences'!$M$2</definedName>
    <definedName name="solver_lhs850" localSheetId="0" hidden="1">'User Preferences'!$M$5</definedName>
    <definedName name="solver_lhs851" localSheetId="0" hidden="1">'User Preferences'!$M$6</definedName>
    <definedName name="solver_lhs852" localSheetId="0" hidden="1">'User Preferences'!$M$7</definedName>
    <definedName name="solver_lhs853" localSheetId="0" hidden="1">'User Preferences'!$M$8</definedName>
    <definedName name="solver_lhs854" localSheetId="0" hidden="1">'User Preferences'!$M$9</definedName>
    <definedName name="solver_lhs855" localSheetId="0" hidden="1">'User Preferences'!$M$10</definedName>
    <definedName name="solver_lhs856" localSheetId="0" hidden="1">'User Preferences'!$M$11</definedName>
    <definedName name="solver_lhs857" localSheetId="0" hidden="1">'User Preferences'!$M$2</definedName>
    <definedName name="solver_lhs858" localSheetId="0" hidden="1">'User Preferences'!$M$3</definedName>
    <definedName name="solver_lhs859" localSheetId="0" hidden="1">'User Preferences'!$M$4</definedName>
    <definedName name="solver_lhs86" localSheetId="0" hidden="1">'User Preferences'!$M$3</definedName>
    <definedName name="solver_lhs860" localSheetId="0" hidden="1">'User Preferences'!$M$5</definedName>
    <definedName name="solver_lhs861" localSheetId="0" hidden="1">'User Preferences'!$M$6</definedName>
    <definedName name="solver_lhs862" localSheetId="0" hidden="1">'User Preferences'!$M$7</definedName>
    <definedName name="solver_lhs863" localSheetId="0" hidden="1">'User Preferences'!$M$8</definedName>
    <definedName name="solver_lhs864" localSheetId="0" hidden="1">'User Preferences'!$M$9</definedName>
    <definedName name="solver_lhs865" localSheetId="0" hidden="1">'User Preferences'!$M$10</definedName>
    <definedName name="solver_lhs866" localSheetId="0" hidden="1">'User Preferences'!$M$11</definedName>
    <definedName name="solver_lhs867" localSheetId="0" hidden="1">'User Preferences'!$J$2</definedName>
    <definedName name="solver_lhs868" localSheetId="0" hidden="1">'User Preferences'!$J$3</definedName>
    <definedName name="solver_lhs869" localSheetId="0" hidden="1">'User Preferences'!$J$4</definedName>
    <definedName name="solver_lhs87" localSheetId="0" hidden="1">'User Preferences'!$M$4</definedName>
    <definedName name="solver_lhs870" localSheetId="0" hidden="1">'User Preferences'!$J$5</definedName>
    <definedName name="solver_lhs871" localSheetId="0" hidden="1">'User Preferences'!$J$6</definedName>
    <definedName name="solver_lhs872" localSheetId="0" hidden="1">'User Preferences'!$J$7</definedName>
    <definedName name="solver_lhs873" localSheetId="0" hidden="1">'User Preferences'!$J$8</definedName>
    <definedName name="solver_lhs874" localSheetId="0" hidden="1">'User Preferences'!$J$9</definedName>
    <definedName name="solver_lhs875" localSheetId="0" hidden="1">'User Preferences'!$J$10</definedName>
    <definedName name="solver_lhs876" localSheetId="0" hidden="1">'User Preferences'!$J$11</definedName>
    <definedName name="solver_lhs877" localSheetId="0" hidden="1">'User Preferences'!$O$12</definedName>
    <definedName name="solver_lhs878" localSheetId="0" hidden="1">'User Preferences'!$M$2</definedName>
    <definedName name="solver_lhs879" localSheetId="0" hidden="1">'User Preferences'!$M$3</definedName>
    <definedName name="solver_lhs88" localSheetId="0" hidden="1">'User Preferences'!$M$5</definedName>
    <definedName name="solver_lhs880" localSheetId="0" hidden="1">'User Preferences'!$M$4</definedName>
    <definedName name="solver_lhs881" localSheetId="0" hidden="1">'User Preferences'!$M$5</definedName>
    <definedName name="solver_lhs882" localSheetId="0" hidden="1">'User Preferences'!$M$6</definedName>
    <definedName name="solver_lhs883" localSheetId="0" hidden="1">'User Preferences'!$M$7</definedName>
    <definedName name="solver_lhs884" localSheetId="0" hidden="1">'User Preferences'!$M$8</definedName>
    <definedName name="solver_lhs885" localSheetId="0" hidden="1">'User Preferences'!$M$9</definedName>
    <definedName name="solver_lhs886" localSheetId="0" hidden="1">'User Preferences'!$M$10</definedName>
    <definedName name="solver_lhs887" localSheetId="0" hidden="1">'User Preferences'!$M$11</definedName>
    <definedName name="solver_lhs888" localSheetId="0" hidden="1">'User Preferences'!$M$2</definedName>
    <definedName name="solver_lhs889" localSheetId="0" hidden="1">'User Preferences'!$M$3</definedName>
    <definedName name="solver_lhs89" localSheetId="0" hidden="1">'User Preferences'!$M$6</definedName>
    <definedName name="solver_lhs890" localSheetId="0" hidden="1">'User Preferences'!$M$4</definedName>
    <definedName name="solver_lhs891" localSheetId="0" hidden="1">'User Preferences'!$M$5</definedName>
    <definedName name="solver_lhs892" localSheetId="0" hidden="1">'User Preferences'!$M$6</definedName>
    <definedName name="solver_lhs893" localSheetId="0" hidden="1">'User Preferences'!$M$7</definedName>
    <definedName name="solver_lhs894" localSheetId="0" hidden="1">'User Preferences'!$M$8</definedName>
    <definedName name="solver_lhs895" localSheetId="0" hidden="1">'User Preferences'!$M$9</definedName>
    <definedName name="solver_lhs896" localSheetId="0" hidden="1">'User Preferences'!$M$10</definedName>
    <definedName name="solver_lhs897" localSheetId="0" hidden="1">'User Preferences'!$M$11</definedName>
    <definedName name="solver_lhs898" localSheetId="0" hidden="1">'User Preferences'!$J$2</definedName>
    <definedName name="solver_lhs899" localSheetId="0" hidden="1">'User Preferences'!$J$3</definedName>
    <definedName name="solver_lhs9" localSheetId="0" hidden="1">'User Preferences'!$M$10</definedName>
    <definedName name="solver_lhs90" localSheetId="0" hidden="1">'User Preferences'!$M$7</definedName>
    <definedName name="solver_lhs900" localSheetId="0" hidden="1">'User Preferences'!$J$4</definedName>
    <definedName name="solver_lhs901" localSheetId="0" hidden="1">'User Preferences'!$J$5</definedName>
    <definedName name="solver_lhs902" localSheetId="0" hidden="1">'User Preferences'!$J$6</definedName>
    <definedName name="solver_lhs903" localSheetId="0" hidden="1">'User Preferences'!$J$7</definedName>
    <definedName name="solver_lhs904" localSheetId="0" hidden="1">'User Preferences'!$J$8</definedName>
    <definedName name="solver_lhs905" localSheetId="0" hidden="1">'User Preferences'!$J$9</definedName>
    <definedName name="solver_lhs906" localSheetId="0" hidden="1">'User Preferences'!$J$10</definedName>
    <definedName name="solver_lhs907" localSheetId="0" hidden="1">'User Preferences'!$J$11</definedName>
    <definedName name="solver_lhs908" localSheetId="0" hidden="1">'User Preferences'!$O$12</definedName>
    <definedName name="solver_lhs91" localSheetId="0" hidden="1">'User Preferences'!$M$8</definedName>
    <definedName name="solver_lhs92" localSheetId="0" hidden="1">'User Preferences'!$M$9</definedName>
    <definedName name="solver_lhs93" localSheetId="0" hidden="1">'User Preferences'!$M$10</definedName>
    <definedName name="solver_lhs94" localSheetId="0" hidden="1">'User Preferences'!$M$11</definedName>
    <definedName name="solver_lhs95" localSheetId="0" hidden="1">'User Preferences'!$O$12</definedName>
    <definedName name="solver_lhs96" localSheetId="0" hidden="1">'User Preferences'!$M$2</definedName>
    <definedName name="solver_lhs97" localSheetId="0" hidden="1">'User Preferences'!$M$3</definedName>
    <definedName name="solver_lhs98" localSheetId="0" hidden="1">'User Preferences'!$M$4</definedName>
    <definedName name="solver_lhs99" localSheetId="0" hidden="1">'User Preferences'!$M$5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4</definedName>
    <definedName name="solver_nwt" localSheetId="1" hidden="1">1</definedName>
    <definedName name="solver_nwt" localSheetId="0" hidden="1">1</definedName>
    <definedName name="solver_opt" localSheetId="1" hidden="1">HistoricalData!$K$2</definedName>
    <definedName name="solver_opt" localSheetId="0" hidden="1">'User Preferences'!$N$12</definedName>
    <definedName name="solver_pre" localSheetId="1" hidden="1">0.000001</definedName>
    <definedName name="solver_pre" localSheetId="0" hidden="1">0.000001</definedName>
    <definedName name="solver_rbv" localSheetId="1" hidden="1">2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00" localSheetId="0" hidden="1">4</definedName>
    <definedName name="solver_rel101" localSheetId="0" hidden="1">4</definedName>
    <definedName name="solver_rel102" localSheetId="0" hidden="1">4</definedName>
    <definedName name="solver_rel103" localSheetId="0" hidden="1">4</definedName>
    <definedName name="solver_rel104" localSheetId="0" hidden="1">4</definedName>
    <definedName name="solver_rel105" localSheetId="0" hidden="1">4</definedName>
    <definedName name="solver_rel106" localSheetId="0" hidden="1">1</definedName>
    <definedName name="solver_rel107" localSheetId="0" hidden="1">1</definedName>
    <definedName name="solver_rel108" localSheetId="0" hidden="1">1</definedName>
    <definedName name="solver_rel109" localSheetId="0" hidden="1">1</definedName>
    <definedName name="solver_rel11" localSheetId="0" hidden="1">1</definedName>
    <definedName name="solver_rel110" localSheetId="0" hidden="1">1</definedName>
    <definedName name="solver_rel111" localSheetId="0" hidden="1">1</definedName>
    <definedName name="solver_rel112" localSheetId="0" hidden="1">1</definedName>
    <definedName name="solver_rel113" localSheetId="0" hidden="1">1</definedName>
    <definedName name="solver_rel114" localSheetId="0" hidden="1">1</definedName>
    <definedName name="solver_rel115" localSheetId="0" hidden="1">1</definedName>
    <definedName name="solver_rel116" localSheetId="0" hidden="1">1</definedName>
    <definedName name="solver_rel117" localSheetId="0" hidden="1">4</definedName>
    <definedName name="solver_rel118" localSheetId="0" hidden="1">4</definedName>
    <definedName name="solver_rel119" localSheetId="0" hidden="1">4</definedName>
    <definedName name="solver_rel12" localSheetId="0" hidden="1">1</definedName>
    <definedName name="solver_rel120" localSheetId="0" hidden="1">4</definedName>
    <definedName name="solver_rel121" localSheetId="0" hidden="1">4</definedName>
    <definedName name="solver_rel122" localSheetId="0" hidden="1">4</definedName>
    <definedName name="solver_rel123" localSheetId="0" hidden="1">4</definedName>
    <definedName name="solver_rel124" localSheetId="0" hidden="1">4</definedName>
    <definedName name="solver_rel125" localSheetId="0" hidden="1">4</definedName>
    <definedName name="solver_rel126" localSheetId="0" hidden="1">4</definedName>
    <definedName name="solver_rel127" localSheetId="0" hidden="1">1</definedName>
    <definedName name="solver_rel128" localSheetId="0" hidden="1">1</definedName>
    <definedName name="solver_rel129" localSheetId="0" hidden="1">1</definedName>
    <definedName name="solver_rel13" localSheetId="0" hidden="1">1</definedName>
    <definedName name="solver_rel130" localSheetId="0" hidden="1">1</definedName>
    <definedName name="solver_rel131" localSheetId="0" hidden="1">1</definedName>
    <definedName name="solver_rel132" localSheetId="0" hidden="1">1</definedName>
    <definedName name="solver_rel133" localSheetId="0" hidden="1">1</definedName>
    <definedName name="solver_rel134" localSheetId="0" hidden="1">1</definedName>
    <definedName name="solver_rel135" localSheetId="0" hidden="1">1</definedName>
    <definedName name="solver_rel136" localSheetId="0" hidden="1">1</definedName>
    <definedName name="solver_rel137" localSheetId="0" hidden="1">1</definedName>
    <definedName name="solver_rel138" localSheetId="0" hidden="1">4</definedName>
    <definedName name="solver_rel139" localSheetId="0" hidden="1">4</definedName>
    <definedName name="solver_rel14" localSheetId="0" hidden="1">1</definedName>
    <definedName name="solver_rel140" localSheetId="0" hidden="1">4</definedName>
    <definedName name="solver_rel141" localSheetId="0" hidden="1">4</definedName>
    <definedName name="solver_rel142" localSheetId="0" hidden="1">4</definedName>
    <definedName name="solver_rel143" localSheetId="0" hidden="1">4</definedName>
    <definedName name="solver_rel144" localSheetId="0" hidden="1">4</definedName>
    <definedName name="solver_rel145" localSheetId="0" hidden="1">4</definedName>
    <definedName name="solver_rel146" localSheetId="0" hidden="1">4</definedName>
    <definedName name="solver_rel147" localSheetId="0" hidden="1">4</definedName>
    <definedName name="solver_rel148" localSheetId="0" hidden="1">1</definedName>
    <definedName name="solver_rel149" localSheetId="0" hidden="1">1</definedName>
    <definedName name="solver_rel15" localSheetId="0" hidden="1">1</definedName>
    <definedName name="solver_rel150" localSheetId="0" hidden="1">1</definedName>
    <definedName name="solver_rel151" localSheetId="0" hidden="1">1</definedName>
    <definedName name="solver_rel152" localSheetId="0" hidden="1">1</definedName>
    <definedName name="solver_rel153" localSheetId="0" hidden="1">1</definedName>
    <definedName name="solver_rel154" localSheetId="0" hidden="1">1</definedName>
    <definedName name="solver_rel155" localSheetId="0" hidden="1">1</definedName>
    <definedName name="solver_rel156" localSheetId="0" hidden="1">1</definedName>
    <definedName name="solver_rel157" localSheetId="0" hidden="1">1</definedName>
    <definedName name="solver_rel158" localSheetId="0" hidden="1">1</definedName>
    <definedName name="solver_rel159" localSheetId="0" hidden="1">4</definedName>
    <definedName name="solver_rel16" localSheetId="0" hidden="1">1</definedName>
    <definedName name="solver_rel160" localSheetId="0" hidden="1">4</definedName>
    <definedName name="solver_rel161" localSheetId="0" hidden="1">4</definedName>
    <definedName name="solver_rel162" localSheetId="0" hidden="1">4</definedName>
    <definedName name="solver_rel163" localSheetId="0" hidden="1">4</definedName>
    <definedName name="solver_rel164" localSheetId="0" hidden="1">4</definedName>
    <definedName name="solver_rel165" localSheetId="0" hidden="1">4</definedName>
    <definedName name="solver_rel166" localSheetId="0" hidden="1">4</definedName>
    <definedName name="solver_rel167" localSheetId="0" hidden="1">4</definedName>
    <definedName name="solver_rel168" localSheetId="0" hidden="1">4</definedName>
    <definedName name="solver_rel169" localSheetId="0" hidden="1">1</definedName>
    <definedName name="solver_rel17" localSheetId="0" hidden="1">1</definedName>
    <definedName name="solver_rel170" localSheetId="0" hidden="1">1</definedName>
    <definedName name="solver_rel171" localSheetId="0" hidden="1">1</definedName>
    <definedName name="solver_rel172" localSheetId="0" hidden="1">1</definedName>
    <definedName name="solver_rel173" localSheetId="0" hidden="1">1</definedName>
    <definedName name="solver_rel174" localSheetId="0" hidden="1">1</definedName>
    <definedName name="solver_rel175" localSheetId="0" hidden="1">1</definedName>
    <definedName name="solver_rel176" localSheetId="0" hidden="1">1</definedName>
    <definedName name="solver_rel177" localSheetId="0" hidden="1">1</definedName>
    <definedName name="solver_rel178" localSheetId="0" hidden="1">1</definedName>
    <definedName name="solver_rel179" localSheetId="0" hidden="1">1</definedName>
    <definedName name="solver_rel18" localSheetId="0" hidden="1">1</definedName>
    <definedName name="solver_rel180" localSheetId="0" hidden="1">4</definedName>
    <definedName name="solver_rel181" localSheetId="0" hidden="1">4</definedName>
    <definedName name="solver_rel182" localSheetId="0" hidden="1">4</definedName>
    <definedName name="solver_rel183" localSheetId="0" hidden="1">4</definedName>
    <definedName name="solver_rel184" localSheetId="0" hidden="1">4</definedName>
    <definedName name="solver_rel185" localSheetId="0" hidden="1">4</definedName>
    <definedName name="solver_rel186" localSheetId="0" hidden="1">4</definedName>
    <definedName name="solver_rel187" localSheetId="0" hidden="1">4</definedName>
    <definedName name="solver_rel188" localSheetId="0" hidden="1">4</definedName>
    <definedName name="solver_rel189" localSheetId="0" hidden="1">4</definedName>
    <definedName name="solver_rel19" localSheetId="0" hidden="1">1</definedName>
    <definedName name="solver_rel190" localSheetId="0" hidden="1">1</definedName>
    <definedName name="solver_rel191" localSheetId="0" hidden="1">1</definedName>
    <definedName name="solver_rel192" localSheetId="0" hidden="1">1</definedName>
    <definedName name="solver_rel193" localSheetId="0" hidden="1">1</definedName>
    <definedName name="solver_rel194" localSheetId="0" hidden="1">1</definedName>
    <definedName name="solver_rel195" localSheetId="0" hidden="1">1</definedName>
    <definedName name="solver_rel196" localSheetId="0" hidden="1">1</definedName>
    <definedName name="solver_rel197" localSheetId="0" hidden="1">1</definedName>
    <definedName name="solver_rel198" localSheetId="0" hidden="1">1</definedName>
    <definedName name="solver_rel199" localSheetId="0" hidden="1">1</definedName>
    <definedName name="solver_rel2" localSheetId="0" hidden="1">1</definedName>
    <definedName name="solver_rel20" localSheetId="0" hidden="1">1</definedName>
    <definedName name="solver_rel200" localSheetId="0" hidden="1">1</definedName>
    <definedName name="solver_rel201" localSheetId="0" hidden="1">4</definedName>
    <definedName name="solver_rel202" localSheetId="0" hidden="1">4</definedName>
    <definedName name="solver_rel203" localSheetId="0" hidden="1">4</definedName>
    <definedName name="solver_rel204" localSheetId="0" hidden="1">4</definedName>
    <definedName name="solver_rel205" localSheetId="0" hidden="1">4</definedName>
    <definedName name="solver_rel206" localSheetId="0" hidden="1">4</definedName>
    <definedName name="solver_rel207" localSheetId="0" hidden="1">4</definedName>
    <definedName name="solver_rel208" localSheetId="0" hidden="1">4</definedName>
    <definedName name="solver_rel209" localSheetId="0" hidden="1">4</definedName>
    <definedName name="solver_rel21" localSheetId="0" hidden="1">1</definedName>
    <definedName name="solver_rel210" localSheetId="0" hidden="1">4</definedName>
    <definedName name="solver_rel211" localSheetId="0" hidden="1">1</definedName>
    <definedName name="solver_rel212" localSheetId="0" hidden="1">1</definedName>
    <definedName name="solver_rel213" localSheetId="0" hidden="1">1</definedName>
    <definedName name="solver_rel214" localSheetId="0" hidden="1">1</definedName>
    <definedName name="solver_rel215" localSheetId="0" hidden="1">1</definedName>
    <definedName name="solver_rel216" localSheetId="0" hidden="1">1</definedName>
    <definedName name="solver_rel217" localSheetId="0" hidden="1">1</definedName>
    <definedName name="solver_rel218" localSheetId="0" hidden="1">1</definedName>
    <definedName name="solver_rel219" localSheetId="0" hidden="1">1</definedName>
    <definedName name="solver_rel22" localSheetId="0" hidden="1">1</definedName>
    <definedName name="solver_rel220" localSheetId="0" hidden="1">1</definedName>
    <definedName name="solver_rel221" localSheetId="0" hidden="1">1</definedName>
    <definedName name="solver_rel222" localSheetId="0" hidden="1">4</definedName>
    <definedName name="solver_rel223" localSheetId="0" hidden="1">4</definedName>
    <definedName name="solver_rel224" localSheetId="0" hidden="1">4</definedName>
    <definedName name="solver_rel225" localSheetId="0" hidden="1">4</definedName>
    <definedName name="solver_rel226" localSheetId="0" hidden="1">4</definedName>
    <definedName name="solver_rel227" localSheetId="0" hidden="1">4</definedName>
    <definedName name="solver_rel228" localSheetId="0" hidden="1">4</definedName>
    <definedName name="solver_rel229" localSheetId="0" hidden="1">4</definedName>
    <definedName name="solver_rel23" localSheetId="0" hidden="1">1</definedName>
    <definedName name="solver_rel230" localSheetId="0" hidden="1">4</definedName>
    <definedName name="solver_rel231" localSheetId="0" hidden="1">4</definedName>
    <definedName name="solver_rel232" localSheetId="0" hidden="1">1</definedName>
    <definedName name="solver_rel233" localSheetId="0" hidden="1">1</definedName>
    <definedName name="solver_rel234" localSheetId="0" hidden="1">1</definedName>
    <definedName name="solver_rel235" localSheetId="0" hidden="1">1</definedName>
    <definedName name="solver_rel236" localSheetId="0" hidden="1">1</definedName>
    <definedName name="solver_rel237" localSheetId="0" hidden="1">1</definedName>
    <definedName name="solver_rel238" localSheetId="0" hidden="1">1</definedName>
    <definedName name="solver_rel239" localSheetId="0" hidden="1">1</definedName>
    <definedName name="solver_rel24" localSheetId="0" hidden="1">1</definedName>
    <definedName name="solver_rel240" localSheetId="0" hidden="1">1</definedName>
    <definedName name="solver_rel241" localSheetId="0" hidden="1">1</definedName>
    <definedName name="solver_rel242" localSheetId="0" hidden="1">1</definedName>
    <definedName name="solver_rel243" localSheetId="0" hidden="1">4</definedName>
    <definedName name="solver_rel244" localSheetId="0" hidden="1">4</definedName>
    <definedName name="solver_rel245" localSheetId="0" hidden="1">4</definedName>
    <definedName name="solver_rel246" localSheetId="0" hidden="1">4</definedName>
    <definedName name="solver_rel247" localSheetId="0" hidden="1">4</definedName>
    <definedName name="solver_rel248" localSheetId="0" hidden="1">4</definedName>
    <definedName name="solver_rel249" localSheetId="0" hidden="1">4</definedName>
    <definedName name="solver_rel25" localSheetId="0" hidden="1">1</definedName>
    <definedName name="solver_rel250" localSheetId="0" hidden="1">4</definedName>
    <definedName name="solver_rel251" localSheetId="0" hidden="1">4</definedName>
    <definedName name="solver_rel252" localSheetId="0" hidden="1">4</definedName>
    <definedName name="solver_rel253" localSheetId="0" hidden="1">1</definedName>
    <definedName name="solver_rel254" localSheetId="0" hidden="1">1</definedName>
    <definedName name="solver_rel255" localSheetId="0" hidden="1">1</definedName>
    <definedName name="solver_rel256" localSheetId="0" hidden="1">1</definedName>
    <definedName name="solver_rel257" localSheetId="0" hidden="1">1</definedName>
    <definedName name="solver_rel258" localSheetId="0" hidden="1">1</definedName>
    <definedName name="solver_rel259" localSheetId="0" hidden="1">1</definedName>
    <definedName name="solver_rel26" localSheetId="0" hidden="1">1</definedName>
    <definedName name="solver_rel260" localSheetId="0" hidden="1">1</definedName>
    <definedName name="solver_rel261" localSheetId="0" hidden="1">1</definedName>
    <definedName name="solver_rel262" localSheetId="0" hidden="1">1</definedName>
    <definedName name="solver_rel263" localSheetId="0" hidden="1">1</definedName>
    <definedName name="solver_rel264" localSheetId="0" hidden="1">4</definedName>
    <definedName name="solver_rel265" localSheetId="0" hidden="1">4</definedName>
    <definedName name="solver_rel266" localSheetId="0" hidden="1">4</definedName>
    <definedName name="solver_rel267" localSheetId="0" hidden="1">4</definedName>
    <definedName name="solver_rel268" localSheetId="0" hidden="1">4</definedName>
    <definedName name="solver_rel269" localSheetId="0" hidden="1">4</definedName>
    <definedName name="solver_rel27" localSheetId="0" hidden="1">1</definedName>
    <definedName name="solver_rel270" localSheetId="0" hidden="1">4</definedName>
    <definedName name="solver_rel271" localSheetId="0" hidden="1">4</definedName>
    <definedName name="solver_rel272" localSheetId="0" hidden="1">4</definedName>
    <definedName name="solver_rel273" localSheetId="0" hidden="1">4</definedName>
    <definedName name="solver_rel274" localSheetId="0" hidden="1">1</definedName>
    <definedName name="solver_rel275" localSheetId="0" hidden="1">1</definedName>
    <definedName name="solver_rel276" localSheetId="0" hidden="1">1</definedName>
    <definedName name="solver_rel277" localSheetId="0" hidden="1">1</definedName>
    <definedName name="solver_rel278" localSheetId="0" hidden="1">1</definedName>
    <definedName name="solver_rel279" localSheetId="0" hidden="1">1</definedName>
    <definedName name="solver_rel28" localSheetId="0" hidden="1">1</definedName>
    <definedName name="solver_rel280" localSheetId="0" hidden="1">1</definedName>
    <definedName name="solver_rel281" localSheetId="0" hidden="1">1</definedName>
    <definedName name="solver_rel282" localSheetId="0" hidden="1">1</definedName>
    <definedName name="solver_rel283" localSheetId="0" hidden="1">1</definedName>
    <definedName name="solver_rel284" localSheetId="0" hidden="1">1</definedName>
    <definedName name="solver_rel285" localSheetId="0" hidden="1">4</definedName>
    <definedName name="solver_rel286" localSheetId="0" hidden="1">4</definedName>
    <definedName name="solver_rel287" localSheetId="0" hidden="1">4</definedName>
    <definedName name="solver_rel288" localSheetId="0" hidden="1">4</definedName>
    <definedName name="solver_rel289" localSheetId="0" hidden="1">4</definedName>
    <definedName name="solver_rel29" localSheetId="0" hidden="1">1</definedName>
    <definedName name="solver_rel290" localSheetId="0" hidden="1">4</definedName>
    <definedName name="solver_rel291" localSheetId="0" hidden="1">4</definedName>
    <definedName name="solver_rel292" localSheetId="0" hidden="1">4</definedName>
    <definedName name="solver_rel293" localSheetId="0" hidden="1">4</definedName>
    <definedName name="solver_rel294" localSheetId="0" hidden="1">4</definedName>
    <definedName name="solver_rel295" localSheetId="0" hidden="1">1</definedName>
    <definedName name="solver_rel296" localSheetId="0" hidden="1">1</definedName>
    <definedName name="solver_rel297" localSheetId="0" hidden="1">1</definedName>
    <definedName name="solver_rel298" localSheetId="0" hidden="1">1</definedName>
    <definedName name="solver_rel299" localSheetId="0" hidden="1">1</definedName>
    <definedName name="solver_rel3" localSheetId="0" hidden="1">1</definedName>
    <definedName name="solver_rel30" localSheetId="0" hidden="1">1</definedName>
    <definedName name="solver_rel300" localSheetId="0" hidden="1">1</definedName>
    <definedName name="solver_rel301" localSheetId="0" hidden="1">1</definedName>
    <definedName name="solver_rel302" localSheetId="0" hidden="1">1</definedName>
    <definedName name="solver_rel303" localSheetId="0" hidden="1">1</definedName>
    <definedName name="solver_rel304" localSheetId="0" hidden="1">1</definedName>
    <definedName name="solver_rel305" localSheetId="0" hidden="1">1</definedName>
    <definedName name="solver_rel306" localSheetId="0" hidden="1">4</definedName>
    <definedName name="solver_rel307" localSheetId="0" hidden="1">4</definedName>
    <definedName name="solver_rel308" localSheetId="0" hidden="1">4</definedName>
    <definedName name="solver_rel309" localSheetId="0" hidden="1">4</definedName>
    <definedName name="solver_rel31" localSheetId="0" hidden="1">1</definedName>
    <definedName name="solver_rel310" localSheetId="0" hidden="1">4</definedName>
    <definedName name="solver_rel311" localSheetId="0" hidden="1">4</definedName>
    <definedName name="solver_rel312" localSheetId="0" hidden="1">4</definedName>
    <definedName name="solver_rel313" localSheetId="0" hidden="1">4</definedName>
    <definedName name="solver_rel314" localSheetId="0" hidden="1">4</definedName>
    <definedName name="solver_rel315" localSheetId="0" hidden="1">4</definedName>
    <definedName name="solver_rel316" localSheetId="0" hidden="1">1</definedName>
    <definedName name="solver_rel317" localSheetId="0" hidden="1">1</definedName>
    <definedName name="solver_rel318" localSheetId="0" hidden="1">1</definedName>
    <definedName name="solver_rel319" localSheetId="0" hidden="1">1</definedName>
    <definedName name="solver_rel32" localSheetId="0" hidden="1">1</definedName>
    <definedName name="solver_rel320" localSheetId="0" hidden="1">1</definedName>
    <definedName name="solver_rel321" localSheetId="0" hidden="1">1</definedName>
    <definedName name="solver_rel322" localSheetId="0" hidden="1">1</definedName>
    <definedName name="solver_rel323" localSheetId="0" hidden="1">1</definedName>
    <definedName name="solver_rel324" localSheetId="0" hidden="1">1</definedName>
    <definedName name="solver_rel325" localSheetId="0" hidden="1">1</definedName>
    <definedName name="solver_rel326" localSheetId="0" hidden="1">1</definedName>
    <definedName name="solver_rel327" localSheetId="0" hidden="1">4</definedName>
    <definedName name="solver_rel328" localSheetId="0" hidden="1">4</definedName>
    <definedName name="solver_rel329" localSheetId="0" hidden="1">4</definedName>
    <definedName name="solver_rel33" localSheetId="0" hidden="1">4</definedName>
    <definedName name="solver_rel330" localSheetId="0" hidden="1">4</definedName>
    <definedName name="solver_rel331" localSheetId="0" hidden="1">4</definedName>
    <definedName name="solver_rel332" localSheetId="0" hidden="1">4</definedName>
    <definedName name="solver_rel333" localSheetId="0" hidden="1">4</definedName>
    <definedName name="solver_rel334" localSheetId="0" hidden="1">4</definedName>
    <definedName name="solver_rel335" localSheetId="0" hidden="1">4</definedName>
    <definedName name="solver_rel336" localSheetId="0" hidden="1">4</definedName>
    <definedName name="solver_rel337" localSheetId="0" hidden="1">1</definedName>
    <definedName name="solver_rel338" localSheetId="0" hidden="1">1</definedName>
    <definedName name="solver_rel339" localSheetId="0" hidden="1">1</definedName>
    <definedName name="solver_rel34" localSheetId="0" hidden="1">4</definedName>
    <definedName name="solver_rel340" localSheetId="0" hidden="1">1</definedName>
    <definedName name="solver_rel341" localSheetId="0" hidden="1">1</definedName>
    <definedName name="solver_rel342" localSheetId="0" hidden="1">1</definedName>
    <definedName name="solver_rel343" localSheetId="0" hidden="1">1</definedName>
    <definedName name="solver_rel344" localSheetId="0" hidden="1">1</definedName>
    <definedName name="solver_rel345" localSheetId="0" hidden="1">1</definedName>
    <definedName name="solver_rel346" localSheetId="0" hidden="1">1</definedName>
    <definedName name="solver_rel347" localSheetId="0" hidden="1">1</definedName>
    <definedName name="solver_rel348" localSheetId="0" hidden="1">4</definedName>
    <definedName name="solver_rel349" localSheetId="0" hidden="1">4</definedName>
    <definedName name="solver_rel35" localSheetId="0" hidden="1">4</definedName>
    <definedName name="solver_rel350" localSheetId="0" hidden="1">4</definedName>
    <definedName name="solver_rel351" localSheetId="0" hidden="1">4</definedName>
    <definedName name="solver_rel352" localSheetId="0" hidden="1">4</definedName>
    <definedName name="solver_rel353" localSheetId="0" hidden="1">4</definedName>
    <definedName name="solver_rel354" localSheetId="0" hidden="1">4</definedName>
    <definedName name="solver_rel355" localSheetId="0" hidden="1">4</definedName>
    <definedName name="solver_rel356" localSheetId="0" hidden="1">4</definedName>
    <definedName name="solver_rel357" localSheetId="0" hidden="1">4</definedName>
    <definedName name="solver_rel358" localSheetId="0" hidden="1">1</definedName>
    <definedName name="solver_rel359" localSheetId="0" hidden="1">1</definedName>
    <definedName name="solver_rel36" localSheetId="0" hidden="1">4</definedName>
    <definedName name="solver_rel360" localSheetId="0" hidden="1">1</definedName>
    <definedName name="solver_rel361" localSheetId="0" hidden="1">1</definedName>
    <definedName name="solver_rel362" localSheetId="0" hidden="1">1</definedName>
    <definedName name="solver_rel363" localSheetId="0" hidden="1">1</definedName>
    <definedName name="solver_rel364" localSheetId="0" hidden="1">1</definedName>
    <definedName name="solver_rel365" localSheetId="0" hidden="1">1</definedName>
    <definedName name="solver_rel366" localSheetId="0" hidden="1">1</definedName>
    <definedName name="solver_rel367" localSheetId="0" hidden="1">1</definedName>
    <definedName name="solver_rel368" localSheetId="0" hidden="1">1</definedName>
    <definedName name="solver_rel369" localSheetId="0" hidden="1">4</definedName>
    <definedName name="solver_rel37" localSheetId="0" hidden="1">4</definedName>
    <definedName name="solver_rel370" localSheetId="0" hidden="1">4</definedName>
    <definedName name="solver_rel371" localSheetId="0" hidden="1">4</definedName>
    <definedName name="solver_rel372" localSheetId="0" hidden="1">4</definedName>
    <definedName name="solver_rel373" localSheetId="0" hidden="1">4</definedName>
    <definedName name="solver_rel374" localSheetId="0" hidden="1">4</definedName>
    <definedName name="solver_rel375" localSheetId="0" hidden="1">4</definedName>
    <definedName name="solver_rel376" localSheetId="0" hidden="1">4</definedName>
    <definedName name="solver_rel377" localSheetId="0" hidden="1">4</definedName>
    <definedName name="solver_rel378" localSheetId="0" hidden="1">4</definedName>
    <definedName name="solver_rel379" localSheetId="0" hidden="1">1</definedName>
    <definedName name="solver_rel38" localSheetId="0" hidden="1">4</definedName>
    <definedName name="solver_rel380" localSheetId="0" hidden="1">1</definedName>
    <definedName name="solver_rel381" localSheetId="0" hidden="1">1</definedName>
    <definedName name="solver_rel382" localSheetId="0" hidden="1">1</definedName>
    <definedName name="solver_rel383" localSheetId="0" hidden="1">1</definedName>
    <definedName name="solver_rel384" localSheetId="0" hidden="1">1</definedName>
    <definedName name="solver_rel385" localSheetId="0" hidden="1">1</definedName>
    <definedName name="solver_rel386" localSheetId="0" hidden="1">1</definedName>
    <definedName name="solver_rel387" localSheetId="0" hidden="1">1</definedName>
    <definedName name="solver_rel388" localSheetId="0" hidden="1">1</definedName>
    <definedName name="solver_rel389" localSheetId="0" hidden="1">1</definedName>
    <definedName name="solver_rel39" localSheetId="0" hidden="1">4</definedName>
    <definedName name="solver_rel390" localSheetId="0" hidden="1">4</definedName>
    <definedName name="solver_rel391" localSheetId="0" hidden="1">4</definedName>
    <definedName name="solver_rel392" localSheetId="0" hidden="1">4</definedName>
    <definedName name="solver_rel393" localSheetId="0" hidden="1">4</definedName>
    <definedName name="solver_rel394" localSheetId="0" hidden="1">4</definedName>
    <definedName name="solver_rel395" localSheetId="0" hidden="1">4</definedName>
    <definedName name="solver_rel396" localSheetId="0" hidden="1">4</definedName>
    <definedName name="solver_rel397" localSheetId="0" hidden="1">4</definedName>
    <definedName name="solver_rel398" localSheetId="0" hidden="1">4</definedName>
    <definedName name="solver_rel399" localSheetId="0" hidden="1">4</definedName>
    <definedName name="solver_rel4" localSheetId="0" hidden="1">4</definedName>
    <definedName name="solver_rel40" localSheetId="0" hidden="1">4</definedName>
    <definedName name="solver_rel400" localSheetId="0" hidden="1">1</definedName>
    <definedName name="solver_rel401" localSheetId="0" hidden="1">1</definedName>
    <definedName name="solver_rel402" localSheetId="0" hidden="1">1</definedName>
    <definedName name="solver_rel403" localSheetId="0" hidden="1">1</definedName>
    <definedName name="solver_rel404" localSheetId="0" hidden="1">1</definedName>
    <definedName name="solver_rel405" localSheetId="0" hidden="1">1</definedName>
    <definedName name="solver_rel406" localSheetId="0" hidden="1">1</definedName>
    <definedName name="solver_rel407" localSheetId="0" hidden="1">1</definedName>
    <definedName name="solver_rel408" localSheetId="0" hidden="1">1</definedName>
    <definedName name="solver_rel409" localSheetId="0" hidden="1">1</definedName>
    <definedName name="solver_rel41" localSheetId="0" hidden="1">4</definedName>
    <definedName name="solver_rel410" localSheetId="0" hidden="1">1</definedName>
    <definedName name="solver_rel411" localSheetId="0" hidden="1">4</definedName>
    <definedName name="solver_rel412" localSheetId="0" hidden="1">4</definedName>
    <definedName name="solver_rel413" localSheetId="0" hidden="1">4</definedName>
    <definedName name="solver_rel414" localSheetId="0" hidden="1">4</definedName>
    <definedName name="solver_rel415" localSheetId="0" hidden="1">4</definedName>
    <definedName name="solver_rel416" localSheetId="0" hidden="1">4</definedName>
    <definedName name="solver_rel417" localSheetId="0" hidden="1">4</definedName>
    <definedName name="solver_rel418" localSheetId="0" hidden="1">4</definedName>
    <definedName name="solver_rel419" localSheetId="0" hidden="1">4</definedName>
    <definedName name="solver_rel42" localSheetId="0" hidden="1">4</definedName>
    <definedName name="solver_rel420" localSheetId="0" hidden="1">4</definedName>
    <definedName name="solver_rel421" localSheetId="0" hidden="1">1</definedName>
    <definedName name="solver_rel422" localSheetId="0" hidden="1">1</definedName>
    <definedName name="solver_rel423" localSheetId="0" hidden="1">1</definedName>
    <definedName name="solver_rel424" localSheetId="0" hidden="1">1</definedName>
    <definedName name="solver_rel425" localSheetId="0" hidden="1">1</definedName>
    <definedName name="solver_rel426" localSheetId="0" hidden="1">1</definedName>
    <definedName name="solver_rel427" localSheetId="0" hidden="1">1</definedName>
    <definedName name="solver_rel428" localSheetId="0" hidden="1">1</definedName>
    <definedName name="solver_rel429" localSheetId="0" hidden="1">1</definedName>
    <definedName name="solver_rel43" localSheetId="0" hidden="1">1</definedName>
    <definedName name="solver_rel430" localSheetId="0" hidden="1">1</definedName>
    <definedName name="solver_rel431" localSheetId="0" hidden="1">1</definedName>
    <definedName name="solver_rel432" localSheetId="0" hidden="1">4</definedName>
    <definedName name="solver_rel433" localSheetId="0" hidden="1">4</definedName>
    <definedName name="solver_rel434" localSheetId="0" hidden="1">4</definedName>
    <definedName name="solver_rel435" localSheetId="0" hidden="1">4</definedName>
    <definedName name="solver_rel436" localSheetId="0" hidden="1">4</definedName>
    <definedName name="solver_rel437" localSheetId="0" hidden="1">4</definedName>
    <definedName name="solver_rel438" localSheetId="0" hidden="1">4</definedName>
    <definedName name="solver_rel439" localSheetId="0" hidden="1">4</definedName>
    <definedName name="solver_rel44" localSheetId="0" hidden="1">1</definedName>
    <definedName name="solver_rel440" localSheetId="0" hidden="1">4</definedName>
    <definedName name="solver_rel441" localSheetId="0" hidden="1">4</definedName>
    <definedName name="solver_rel442" localSheetId="0" hidden="1">1</definedName>
    <definedName name="solver_rel443" localSheetId="0" hidden="1">1</definedName>
    <definedName name="solver_rel444" localSheetId="0" hidden="1">1</definedName>
    <definedName name="solver_rel445" localSheetId="0" hidden="1">1</definedName>
    <definedName name="solver_rel446" localSheetId="0" hidden="1">1</definedName>
    <definedName name="solver_rel447" localSheetId="0" hidden="1">1</definedName>
    <definedName name="solver_rel448" localSheetId="0" hidden="1">1</definedName>
    <definedName name="solver_rel449" localSheetId="0" hidden="1">1</definedName>
    <definedName name="solver_rel45" localSheetId="0" hidden="1">1</definedName>
    <definedName name="solver_rel450" localSheetId="0" hidden="1">1</definedName>
    <definedName name="solver_rel451" localSheetId="0" hidden="1">1</definedName>
    <definedName name="solver_rel452" localSheetId="0" hidden="1">1</definedName>
    <definedName name="solver_rel453" localSheetId="0" hidden="1">4</definedName>
    <definedName name="solver_rel454" localSheetId="0" hidden="1">4</definedName>
    <definedName name="solver_rel455" localSheetId="0" hidden="1">4</definedName>
    <definedName name="solver_rel456" localSheetId="0" hidden="1">4</definedName>
    <definedName name="solver_rel457" localSheetId="0" hidden="1">4</definedName>
    <definedName name="solver_rel458" localSheetId="0" hidden="1">4</definedName>
    <definedName name="solver_rel459" localSheetId="0" hidden="1">4</definedName>
    <definedName name="solver_rel46" localSheetId="0" hidden="1">1</definedName>
    <definedName name="solver_rel460" localSheetId="0" hidden="1">4</definedName>
    <definedName name="solver_rel461" localSheetId="0" hidden="1">4</definedName>
    <definedName name="solver_rel462" localSheetId="0" hidden="1">4</definedName>
    <definedName name="solver_rel463" localSheetId="0" hidden="1">1</definedName>
    <definedName name="solver_rel464" localSheetId="0" hidden="1">1</definedName>
    <definedName name="solver_rel465" localSheetId="0" hidden="1">1</definedName>
    <definedName name="solver_rel466" localSheetId="0" hidden="1">1</definedName>
    <definedName name="solver_rel467" localSheetId="0" hidden="1">1</definedName>
    <definedName name="solver_rel468" localSheetId="0" hidden="1">1</definedName>
    <definedName name="solver_rel469" localSheetId="0" hidden="1">1</definedName>
    <definedName name="solver_rel47" localSheetId="0" hidden="1">1</definedName>
    <definedName name="solver_rel470" localSheetId="0" hidden="1">1</definedName>
    <definedName name="solver_rel471" localSheetId="0" hidden="1">1</definedName>
    <definedName name="solver_rel472" localSheetId="0" hidden="1">1</definedName>
    <definedName name="solver_rel473" localSheetId="0" hidden="1">1</definedName>
    <definedName name="solver_rel474" localSheetId="0" hidden="1">4</definedName>
    <definedName name="solver_rel475" localSheetId="0" hidden="1">4</definedName>
    <definedName name="solver_rel476" localSheetId="0" hidden="1">4</definedName>
    <definedName name="solver_rel477" localSheetId="0" hidden="1">4</definedName>
    <definedName name="solver_rel478" localSheetId="0" hidden="1">4</definedName>
    <definedName name="solver_rel479" localSheetId="0" hidden="1">4</definedName>
    <definedName name="solver_rel48" localSheetId="0" hidden="1">1</definedName>
    <definedName name="solver_rel480" localSheetId="0" hidden="1">4</definedName>
    <definedName name="solver_rel481" localSheetId="0" hidden="1">4</definedName>
    <definedName name="solver_rel482" localSheetId="0" hidden="1">4</definedName>
    <definedName name="solver_rel483" localSheetId="0" hidden="1">4</definedName>
    <definedName name="solver_rel484" localSheetId="0" hidden="1">1</definedName>
    <definedName name="solver_rel485" localSheetId="0" hidden="1">1</definedName>
    <definedName name="solver_rel486" localSheetId="0" hidden="1">1</definedName>
    <definedName name="solver_rel487" localSheetId="0" hidden="1">1</definedName>
    <definedName name="solver_rel488" localSheetId="0" hidden="1">1</definedName>
    <definedName name="solver_rel489" localSheetId="0" hidden="1">1</definedName>
    <definedName name="solver_rel49" localSheetId="0" hidden="1">1</definedName>
    <definedName name="solver_rel490" localSheetId="0" hidden="1">1</definedName>
    <definedName name="solver_rel491" localSheetId="0" hidden="1">1</definedName>
    <definedName name="solver_rel492" localSheetId="0" hidden="1">1</definedName>
    <definedName name="solver_rel493" localSheetId="0" hidden="1">1</definedName>
    <definedName name="solver_rel494" localSheetId="0" hidden="1">1</definedName>
    <definedName name="solver_rel495" localSheetId="0" hidden="1">4</definedName>
    <definedName name="solver_rel496" localSheetId="0" hidden="1">4</definedName>
    <definedName name="solver_rel497" localSheetId="0" hidden="1">4</definedName>
    <definedName name="solver_rel498" localSheetId="0" hidden="1">4</definedName>
    <definedName name="solver_rel499" localSheetId="0" hidden="1">4</definedName>
    <definedName name="solver_rel5" localSheetId="0" hidden="1">1</definedName>
    <definedName name="solver_rel50" localSheetId="0" hidden="1">1</definedName>
    <definedName name="solver_rel500" localSheetId="0" hidden="1">4</definedName>
    <definedName name="solver_rel501" localSheetId="0" hidden="1">4</definedName>
    <definedName name="solver_rel502" localSheetId="0" hidden="1">4</definedName>
    <definedName name="solver_rel503" localSheetId="0" hidden="1">4</definedName>
    <definedName name="solver_rel504" localSheetId="0" hidden="1">4</definedName>
    <definedName name="solver_rel505" localSheetId="0" hidden="1">1</definedName>
    <definedName name="solver_rel506" localSheetId="0" hidden="1">1</definedName>
    <definedName name="solver_rel507" localSheetId="0" hidden="1">1</definedName>
    <definedName name="solver_rel508" localSheetId="0" hidden="1">1</definedName>
    <definedName name="solver_rel509" localSheetId="0" hidden="1">1</definedName>
    <definedName name="solver_rel51" localSheetId="0" hidden="1">1</definedName>
    <definedName name="solver_rel510" localSheetId="0" hidden="1">1</definedName>
    <definedName name="solver_rel511" localSheetId="0" hidden="1">1</definedName>
    <definedName name="solver_rel512" localSheetId="0" hidden="1">1</definedName>
    <definedName name="solver_rel513" localSheetId="0" hidden="1">1</definedName>
    <definedName name="solver_rel514" localSheetId="0" hidden="1">1</definedName>
    <definedName name="solver_rel515" localSheetId="0" hidden="1">1</definedName>
    <definedName name="solver_rel516" localSheetId="0" hidden="1">4</definedName>
    <definedName name="solver_rel517" localSheetId="0" hidden="1">4</definedName>
    <definedName name="solver_rel518" localSheetId="0" hidden="1">4</definedName>
    <definedName name="solver_rel519" localSheetId="0" hidden="1">4</definedName>
    <definedName name="solver_rel52" localSheetId="0" hidden="1">1</definedName>
    <definedName name="solver_rel520" localSheetId="0" hidden="1">4</definedName>
    <definedName name="solver_rel521" localSheetId="0" hidden="1">4</definedName>
    <definedName name="solver_rel522" localSheetId="0" hidden="1">4</definedName>
    <definedName name="solver_rel523" localSheetId="0" hidden="1">4</definedName>
    <definedName name="solver_rel524" localSheetId="0" hidden="1">4</definedName>
    <definedName name="solver_rel525" localSheetId="0" hidden="1">4</definedName>
    <definedName name="solver_rel526" localSheetId="0" hidden="1">1</definedName>
    <definedName name="solver_rel527" localSheetId="0" hidden="1">1</definedName>
    <definedName name="solver_rel528" localSheetId="0" hidden="1">1</definedName>
    <definedName name="solver_rel529" localSheetId="0" hidden="1">1</definedName>
    <definedName name="solver_rel53" localSheetId="0" hidden="1">1</definedName>
    <definedName name="solver_rel530" localSheetId="0" hidden="1">1</definedName>
    <definedName name="solver_rel531" localSheetId="0" hidden="1">1</definedName>
    <definedName name="solver_rel532" localSheetId="0" hidden="1">1</definedName>
    <definedName name="solver_rel533" localSheetId="0" hidden="1">1</definedName>
    <definedName name="solver_rel534" localSheetId="0" hidden="1">1</definedName>
    <definedName name="solver_rel535" localSheetId="0" hidden="1">1</definedName>
    <definedName name="solver_rel536" localSheetId="0" hidden="1">1</definedName>
    <definedName name="solver_rel537" localSheetId="0" hidden="1">4</definedName>
    <definedName name="solver_rel538" localSheetId="0" hidden="1">4</definedName>
    <definedName name="solver_rel539" localSheetId="0" hidden="1">4</definedName>
    <definedName name="solver_rel54" localSheetId="0" hidden="1">4</definedName>
    <definedName name="solver_rel540" localSheetId="0" hidden="1">4</definedName>
    <definedName name="solver_rel541" localSheetId="0" hidden="1">4</definedName>
    <definedName name="solver_rel542" localSheetId="0" hidden="1">4</definedName>
    <definedName name="solver_rel543" localSheetId="0" hidden="1">4</definedName>
    <definedName name="solver_rel544" localSheetId="0" hidden="1">4</definedName>
    <definedName name="solver_rel545" localSheetId="0" hidden="1">4</definedName>
    <definedName name="solver_rel546" localSheetId="0" hidden="1">4</definedName>
    <definedName name="solver_rel547" localSheetId="0" hidden="1">1</definedName>
    <definedName name="solver_rel548" localSheetId="0" hidden="1">1</definedName>
    <definedName name="solver_rel549" localSheetId="0" hidden="1">1</definedName>
    <definedName name="solver_rel55" localSheetId="0" hidden="1">4</definedName>
    <definedName name="solver_rel550" localSheetId="0" hidden="1">1</definedName>
    <definedName name="solver_rel551" localSheetId="0" hidden="1">1</definedName>
    <definedName name="solver_rel552" localSheetId="0" hidden="1">1</definedName>
    <definedName name="solver_rel553" localSheetId="0" hidden="1">1</definedName>
    <definedName name="solver_rel554" localSheetId="0" hidden="1">1</definedName>
    <definedName name="solver_rel555" localSheetId="0" hidden="1">1</definedName>
    <definedName name="solver_rel556" localSheetId="0" hidden="1">1</definedName>
    <definedName name="solver_rel557" localSheetId="0" hidden="1">1</definedName>
    <definedName name="solver_rel558" localSheetId="0" hidden="1">1</definedName>
    <definedName name="solver_rel559" localSheetId="0" hidden="1">1</definedName>
    <definedName name="solver_rel56" localSheetId="0" hidden="1">4</definedName>
    <definedName name="solver_rel560" localSheetId="0" hidden="1">1</definedName>
    <definedName name="solver_rel561" localSheetId="0" hidden="1">1</definedName>
    <definedName name="solver_rel562" localSheetId="0" hidden="1">1</definedName>
    <definedName name="solver_rel563" localSheetId="0" hidden="1">1</definedName>
    <definedName name="solver_rel564" localSheetId="0" hidden="1">1</definedName>
    <definedName name="solver_rel565" localSheetId="0" hidden="1">1</definedName>
    <definedName name="solver_rel566" localSheetId="0" hidden="1">1</definedName>
    <definedName name="solver_rel567" localSheetId="0" hidden="1">1</definedName>
    <definedName name="solver_rel568" localSheetId="0" hidden="1">4</definedName>
    <definedName name="solver_rel569" localSheetId="0" hidden="1">4</definedName>
    <definedName name="solver_rel57" localSheetId="0" hidden="1">4</definedName>
    <definedName name="solver_rel570" localSheetId="0" hidden="1">4</definedName>
    <definedName name="solver_rel571" localSheetId="0" hidden="1">4</definedName>
    <definedName name="solver_rel572" localSheetId="0" hidden="1">4</definedName>
    <definedName name="solver_rel573" localSheetId="0" hidden="1">4</definedName>
    <definedName name="solver_rel574" localSheetId="0" hidden="1">4</definedName>
    <definedName name="solver_rel575" localSheetId="0" hidden="1">4</definedName>
    <definedName name="solver_rel576" localSheetId="0" hidden="1">4</definedName>
    <definedName name="solver_rel577" localSheetId="0" hidden="1">4</definedName>
    <definedName name="solver_rel578" localSheetId="0" hidden="1">1</definedName>
    <definedName name="solver_rel579" localSheetId="0" hidden="1">1</definedName>
    <definedName name="solver_rel58" localSheetId="0" hidden="1">4</definedName>
    <definedName name="solver_rel580" localSheetId="0" hidden="1">1</definedName>
    <definedName name="solver_rel581" localSheetId="0" hidden="1">1</definedName>
    <definedName name="solver_rel582" localSheetId="0" hidden="1">1</definedName>
    <definedName name="solver_rel583" localSheetId="0" hidden="1">1</definedName>
    <definedName name="solver_rel584" localSheetId="0" hidden="1">1</definedName>
    <definedName name="solver_rel585" localSheetId="0" hidden="1">1</definedName>
    <definedName name="solver_rel586" localSheetId="0" hidden="1">1</definedName>
    <definedName name="solver_rel587" localSheetId="0" hidden="1">1</definedName>
    <definedName name="solver_rel588" localSheetId="0" hidden="1">1</definedName>
    <definedName name="solver_rel589" localSheetId="0" hidden="1">1</definedName>
    <definedName name="solver_rel59" localSheetId="0" hidden="1">4</definedName>
    <definedName name="solver_rel590" localSheetId="0" hidden="1">1</definedName>
    <definedName name="solver_rel591" localSheetId="0" hidden="1">1</definedName>
    <definedName name="solver_rel592" localSheetId="0" hidden="1">1</definedName>
    <definedName name="solver_rel593" localSheetId="0" hidden="1">1</definedName>
    <definedName name="solver_rel594" localSheetId="0" hidden="1">1</definedName>
    <definedName name="solver_rel595" localSheetId="0" hidden="1">1</definedName>
    <definedName name="solver_rel596" localSheetId="0" hidden="1">1</definedName>
    <definedName name="solver_rel597" localSheetId="0" hidden="1">1</definedName>
    <definedName name="solver_rel598" localSheetId="0" hidden="1">1</definedName>
    <definedName name="solver_rel599" localSheetId="0" hidden="1">4</definedName>
    <definedName name="solver_rel6" localSheetId="0" hidden="1">1</definedName>
    <definedName name="solver_rel60" localSheetId="0" hidden="1">4</definedName>
    <definedName name="solver_rel600" localSheetId="0" hidden="1">4</definedName>
    <definedName name="solver_rel601" localSheetId="0" hidden="1">4</definedName>
    <definedName name="solver_rel602" localSheetId="0" hidden="1">4</definedName>
    <definedName name="solver_rel603" localSheetId="0" hidden="1">4</definedName>
    <definedName name="solver_rel604" localSheetId="0" hidden="1">4</definedName>
    <definedName name="solver_rel605" localSheetId="0" hidden="1">4</definedName>
    <definedName name="solver_rel606" localSheetId="0" hidden="1">4</definedName>
    <definedName name="solver_rel607" localSheetId="0" hidden="1">4</definedName>
    <definedName name="solver_rel608" localSheetId="0" hidden="1">4</definedName>
    <definedName name="solver_rel609" localSheetId="0" hidden="1">1</definedName>
    <definedName name="solver_rel61" localSheetId="0" hidden="1">4</definedName>
    <definedName name="solver_rel610" localSheetId="0" hidden="1">1</definedName>
    <definedName name="solver_rel611" localSheetId="0" hidden="1">1</definedName>
    <definedName name="solver_rel612" localSheetId="0" hidden="1">1</definedName>
    <definedName name="solver_rel613" localSheetId="0" hidden="1">1</definedName>
    <definedName name="solver_rel614" localSheetId="0" hidden="1">1</definedName>
    <definedName name="solver_rel615" localSheetId="0" hidden="1">1</definedName>
    <definedName name="solver_rel616" localSheetId="0" hidden="1">1</definedName>
    <definedName name="solver_rel617" localSheetId="0" hidden="1">1</definedName>
    <definedName name="solver_rel618" localSheetId="0" hidden="1">1</definedName>
    <definedName name="solver_rel619" localSheetId="0" hidden="1">1</definedName>
    <definedName name="solver_rel62" localSheetId="0" hidden="1">4</definedName>
    <definedName name="solver_rel620" localSheetId="0" hidden="1">1</definedName>
    <definedName name="solver_rel621" localSheetId="0" hidden="1">1</definedName>
    <definedName name="solver_rel622" localSheetId="0" hidden="1">1</definedName>
    <definedName name="solver_rel623" localSheetId="0" hidden="1">1</definedName>
    <definedName name="solver_rel624" localSheetId="0" hidden="1">1</definedName>
    <definedName name="solver_rel625" localSheetId="0" hidden="1">1</definedName>
    <definedName name="solver_rel626" localSheetId="0" hidden="1">1</definedName>
    <definedName name="solver_rel627" localSheetId="0" hidden="1">1</definedName>
    <definedName name="solver_rel628" localSheetId="0" hidden="1">1</definedName>
    <definedName name="solver_rel629" localSheetId="0" hidden="1">1</definedName>
    <definedName name="solver_rel63" localSheetId="0" hidden="1">4</definedName>
    <definedName name="solver_rel630" localSheetId="0" hidden="1">4</definedName>
    <definedName name="solver_rel631" localSheetId="0" hidden="1">4</definedName>
    <definedName name="solver_rel632" localSheetId="0" hidden="1">4</definedName>
    <definedName name="solver_rel633" localSheetId="0" hidden="1">4</definedName>
    <definedName name="solver_rel634" localSheetId="0" hidden="1">4</definedName>
    <definedName name="solver_rel635" localSheetId="0" hidden="1">4</definedName>
    <definedName name="solver_rel636" localSheetId="0" hidden="1">4</definedName>
    <definedName name="solver_rel637" localSheetId="0" hidden="1">4</definedName>
    <definedName name="solver_rel638" localSheetId="0" hidden="1">4</definedName>
    <definedName name="solver_rel639" localSheetId="0" hidden="1">4</definedName>
    <definedName name="solver_rel64" localSheetId="0" hidden="1">1</definedName>
    <definedName name="solver_rel640" localSheetId="0" hidden="1">1</definedName>
    <definedName name="solver_rel641" localSheetId="0" hidden="1">1</definedName>
    <definedName name="solver_rel642" localSheetId="0" hidden="1">1</definedName>
    <definedName name="solver_rel643" localSheetId="0" hidden="1">1</definedName>
    <definedName name="solver_rel644" localSheetId="0" hidden="1">1</definedName>
    <definedName name="solver_rel645" localSheetId="0" hidden="1">1</definedName>
    <definedName name="solver_rel646" localSheetId="0" hidden="1">1</definedName>
    <definedName name="solver_rel647" localSheetId="0" hidden="1">1</definedName>
    <definedName name="solver_rel648" localSheetId="0" hidden="1">1</definedName>
    <definedName name="solver_rel649" localSheetId="0" hidden="1">1</definedName>
    <definedName name="solver_rel65" localSheetId="0" hidden="1">1</definedName>
    <definedName name="solver_rel650" localSheetId="0" hidden="1">1</definedName>
    <definedName name="solver_rel651" localSheetId="0" hidden="1">1</definedName>
    <definedName name="solver_rel652" localSheetId="0" hidden="1">1</definedName>
    <definedName name="solver_rel653" localSheetId="0" hidden="1">1</definedName>
    <definedName name="solver_rel654" localSheetId="0" hidden="1">1</definedName>
    <definedName name="solver_rel655" localSheetId="0" hidden="1">1</definedName>
    <definedName name="solver_rel656" localSheetId="0" hidden="1">1</definedName>
    <definedName name="solver_rel657" localSheetId="0" hidden="1">1</definedName>
    <definedName name="solver_rel658" localSheetId="0" hidden="1">1</definedName>
    <definedName name="solver_rel659" localSheetId="0" hidden="1">1</definedName>
    <definedName name="solver_rel66" localSheetId="0" hidden="1">1</definedName>
    <definedName name="solver_rel660" localSheetId="0" hidden="1">1</definedName>
    <definedName name="solver_rel661" localSheetId="0" hidden="1">4</definedName>
    <definedName name="solver_rel662" localSheetId="0" hidden="1">4</definedName>
    <definedName name="solver_rel663" localSheetId="0" hidden="1">4</definedName>
    <definedName name="solver_rel664" localSheetId="0" hidden="1">4</definedName>
    <definedName name="solver_rel665" localSheetId="0" hidden="1">4</definedName>
    <definedName name="solver_rel666" localSheetId="0" hidden="1">4</definedName>
    <definedName name="solver_rel667" localSheetId="0" hidden="1">4</definedName>
    <definedName name="solver_rel668" localSheetId="0" hidden="1">4</definedName>
    <definedName name="solver_rel669" localSheetId="0" hidden="1">4</definedName>
    <definedName name="solver_rel67" localSheetId="0" hidden="1">1</definedName>
    <definedName name="solver_rel670" localSheetId="0" hidden="1">4</definedName>
    <definedName name="solver_rel671" localSheetId="0" hidden="1">1</definedName>
    <definedName name="solver_rel672" localSheetId="0" hidden="1">1</definedName>
    <definedName name="solver_rel673" localSheetId="0" hidden="1">1</definedName>
    <definedName name="solver_rel674" localSheetId="0" hidden="1">1</definedName>
    <definedName name="solver_rel675" localSheetId="0" hidden="1">1</definedName>
    <definedName name="solver_rel676" localSheetId="0" hidden="1">1</definedName>
    <definedName name="solver_rel677" localSheetId="0" hidden="1">1</definedName>
    <definedName name="solver_rel678" localSheetId="0" hidden="1">1</definedName>
    <definedName name="solver_rel679" localSheetId="0" hidden="1">1</definedName>
    <definedName name="solver_rel68" localSheetId="0" hidden="1">1</definedName>
    <definedName name="solver_rel680" localSheetId="0" hidden="1">1</definedName>
    <definedName name="solver_rel681" localSheetId="0" hidden="1">1</definedName>
    <definedName name="solver_rel682" localSheetId="0" hidden="1">1</definedName>
    <definedName name="solver_rel683" localSheetId="0" hidden="1">1</definedName>
    <definedName name="solver_rel684" localSheetId="0" hidden="1">1</definedName>
    <definedName name="solver_rel685" localSheetId="0" hidden="1">1</definedName>
    <definedName name="solver_rel686" localSheetId="0" hidden="1">1</definedName>
    <definedName name="solver_rel687" localSheetId="0" hidden="1">1</definedName>
    <definedName name="solver_rel688" localSheetId="0" hidden="1">1</definedName>
    <definedName name="solver_rel689" localSheetId="0" hidden="1">1</definedName>
    <definedName name="solver_rel69" localSheetId="0" hidden="1">1</definedName>
    <definedName name="solver_rel690" localSheetId="0" hidden="1">1</definedName>
    <definedName name="solver_rel691" localSheetId="0" hidden="1">1</definedName>
    <definedName name="solver_rel692" localSheetId="0" hidden="1">4</definedName>
    <definedName name="solver_rel693" localSheetId="0" hidden="1">4</definedName>
    <definedName name="solver_rel694" localSheetId="0" hidden="1">4</definedName>
    <definedName name="solver_rel695" localSheetId="0" hidden="1">4</definedName>
    <definedName name="solver_rel696" localSheetId="0" hidden="1">4</definedName>
    <definedName name="solver_rel697" localSheetId="0" hidden="1">4</definedName>
    <definedName name="solver_rel698" localSheetId="0" hidden="1">4</definedName>
    <definedName name="solver_rel699" localSheetId="0" hidden="1">4</definedName>
    <definedName name="solver_rel7" localSheetId="0" hidden="1">1</definedName>
    <definedName name="solver_rel70" localSheetId="0" hidden="1">1</definedName>
    <definedName name="solver_rel700" localSheetId="0" hidden="1">4</definedName>
    <definedName name="solver_rel701" localSheetId="0" hidden="1">4</definedName>
    <definedName name="solver_rel702" localSheetId="0" hidden="1">1</definedName>
    <definedName name="solver_rel703" localSheetId="0" hidden="1">1</definedName>
    <definedName name="solver_rel704" localSheetId="0" hidden="1">1</definedName>
    <definedName name="solver_rel705" localSheetId="0" hidden="1">1</definedName>
    <definedName name="solver_rel706" localSheetId="0" hidden="1">1</definedName>
    <definedName name="solver_rel707" localSheetId="0" hidden="1">1</definedName>
    <definedName name="solver_rel708" localSheetId="0" hidden="1">1</definedName>
    <definedName name="solver_rel709" localSheetId="0" hidden="1">1</definedName>
    <definedName name="solver_rel71" localSheetId="0" hidden="1">1</definedName>
    <definedName name="solver_rel710" localSheetId="0" hidden="1">1</definedName>
    <definedName name="solver_rel711" localSheetId="0" hidden="1">1</definedName>
    <definedName name="solver_rel712" localSheetId="0" hidden="1">1</definedName>
    <definedName name="solver_rel713" localSheetId="0" hidden="1">1</definedName>
    <definedName name="solver_rel714" localSheetId="0" hidden="1">1</definedName>
    <definedName name="solver_rel715" localSheetId="0" hidden="1">1</definedName>
    <definedName name="solver_rel716" localSheetId="0" hidden="1">1</definedName>
    <definedName name="solver_rel717" localSheetId="0" hidden="1">1</definedName>
    <definedName name="solver_rel718" localSheetId="0" hidden="1">1</definedName>
    <definedName name="solver_rel719" localSheetId="0" hidden="1">1</definedName>
    <definedName name="solver_rel72" localSheetId="0" hidden="1">1</definedName>
    <definedName name="solver_rel720" localSheetId="0" hidden="1">1</definedName>
    <definedName name="solver_rel721" localSheetId="0" hidden="1">1</definedName>
    <definedName name="solver_rel722" localSheetId="0" hidden="1">1</definedName>
    <definedName name="solver_rel723" localSheetId="0" hidden="1">4</definedName>
    <definedName name="solver_rel724" localSheetId="0" hidden="1">4</definedName>
    <definedName name="solver_rel725" localSheetId="0" hidden="1">4</definedName>
    <definedName name="solver_rel726" localSheetId="0" hidden="1">4</definedName>
    <definedName name="solver_rel727" localSheetId="0" hidden="1">4</definedName>
    <definedName name="solver_rel728" localSheetId="0" hidden="1">4</definedName>
    <definedName name="solver_rel729" localSheetId="0" hidden="1">4</definedName>
    <definedName name="solver_rel73" localSheetId="0" hidden="1">1</definedName>
    <definedName name="solver_rel730" localSheetId="0" hidden="1">4</definedName>
    <definedName name="solver_rel731" localSheetId="0" hidden="1">4</definedName>
    <definedName name="solver_rel732" localSheetId="0" hidden="1">4</definedName>
    <definedName name="solver_rel733" localSheetId="0" hidden="1">1</definedName>
    <definedName name="solver_rel734" localSheetId="0" hidden="1">1</definedName>
    <definedName name="solver_rel735" localSheetId="0" hidden="1">1</definedName>
    <definedName name="solver_rel736" localSheetId="0" hidden="1">1</definedName>
    <definedName name="solver_rel737" localSheetId="0" hidden="1">1</definedName>
    <definedName name="solver_rel738" localSheetId="0" hidden="1">1</definedName>
    <definedName name="solver_rel739" localSheetId="0" hidden="1">1</definedName>
    <definedName name="solver_rel74" localSheetId="0" hidden="1">1</definedName>
    <definedName name="solver_rel740" localSheetId="0" hidden="1">1</definedName>
    <definedName name="solver_rel741" localSheetId="0" hidden="1">1</definedName>
    <definedName name="solver_rel742" localSheetId="0" hidden="1">1</definedName>
    <definedName name="solver_rel743" localSheetId="0" hidden="1">1</definedName>
    <definedName name="solver_rel744" localSheetId="0" hidden="1">1</definedName>
    <definedName name="solver_rel745" localSheetId="0" hidden="1">1</definedName>
    <definedName name="solver_rel746" localSheetId="0" hidden="1">1</definedName>
    <definedName name="solver_rel747" localSheetId="0" hidden="1">1</definedName>
    <definedName name="solver_rel748" localSheetId="0" hidden="1">1</definedName>
    <definedName name="solver_rel749" localSheetId="0" hidden="1">1</definedName>
    <definedName name="solver_rel75" localSheetId="0" hidden="1">4</definedName>
    <definedName name="solver_rel750" localSheetId="0" hidden="1">1</definedName>
    <definedName name="solver_rel751" localSheetId="0" hidden="1">1</definedName>
    <definedName name="solver_rel752" localSheetId="0" hidden="1">1</definedName>
    <definedName name="solver_rel753" localSheetId="0" hidden="1">1</definedName>
    <definedName name="solver_rel754" localSheetId="0" hidden="1">4</definedName>
    <definedName name="solver_rel755" localSheetId="0" hidden="1">4</definedName>
    <definedName name="solver_rel756" localSheetId="0" hidden="1">4</definedName>
    <definedName name="solver_rel757" localSheetId="0" hidden="1">4</definedName>
    <definedName name="solver_rel758" localSheetId="0" hidden="1">4</definedName>
    <definedName name="solver_rel759" localSheetId="0" hidden="1">4</definedName>
    <definedName name="solver_rel76" localSheetId="0" hidden="1">4</definedName>
    <definedName name="solver_rel760" localSheetId="0" hidden="1">4</definedName>
    <definedName name="solver_rel761" localSheetId="0" hidden="1">4</definedName>
    <definedName name="solver_rel762" localSheetId="0" hidden="1">4</definedName>
    <definedName name="solver_rel763" localSheetId="0" hidden="1">4</definedName>
    <definedName name="solver_rel764" localSheetId="0" hidden="1">1</definedName>
    <definedName name="solver_rel765" localSheetId="0" hidden="1">1</definedName>
    <definedName name="solver_rel766" localSheetId="0" hidden="1">1</definedName>
    <definedName name="solver_rel767" localSheetId="0" hidden="1">1</definedName>
    <definedName name="solver_rel768" localSheetId="0" hidden="1">1</definedName>
    <definedName name="solver_rel769" localSheetId="0" hidden="1">1</definedName>
    <definedName name="solver_rel77" localSheetId="0" hidden="1">4</definedName>
    <definedName name="solver_rel770" localSheetId="0" hidden="1">1</definedName>
    <definedName name="solver_rel771" localSheetId="0" hidden="1">1</definedName>
    <definedName name="solver_rel772" localSheetId="0" hidden="1">1</definedName>
    <definedName name="solver_rel773" localSheetId="0" hidden="1">1</definedName>
    <definedName name="solver_rel774" localSheetId="0" hidden="1">1</definedName>
    <definedName name="solver_rel775" localSheetId="0" hidden="1">1</definedName>
    <definedName name="solver_rel776" localSheetId="0" hidden="1">1</definedName>
    <definedName name="solver_rel777" localSheetId="0" hidden="1">1</definedName>
    <definedName name="solver_rel778" localSheetId="0" hidden="1">1</definedName>
    <definedName name="solver_rel779" localSheetId="0" hidden="1">1</definedName>
    <definedName name="solver_rel78" localSheetId="0" hidden="1">4</definedName>
    <definedName name="solver_rel780" localSheetId="0" hidden="1">1</definedName>
    <definedName name="solver_rel781" localSheetId="0" hidden="1">1</definedName>
    <definedName name="solver_rel782" localSheetId="0" hidden="1">1</definedName>
    <definedName name="solver_rel783" localSheetId="0" hidden="1">1</definedName>
    <definedName name="solver_rel784" localSheetId="0" hidden="1">1</definedName>
    <definedName name="solver_rel785" localSheetId="0" hidden="1">4</definedName>
    <definedName name="solver_rel786" localSheetId="0" hidden="1">4</definedName>
    <definedName name="solver_rel787" localSheetId="0" hidden="1">4</definedName>
    <definedName name="solver_rel788" localSheetId="0" hidden="1">4</definedName>
    <definedName name="solver_rel789" localSheetId="0" hidden="1">4</definedName>
    <definedName name="solver_rel79" localSheetId="0" hidden="1">4</definedName>
    <definedName name="solver_rel790" localSheetId="0" hidden="1">4</definedName>
    <definedName name="solver_rel791" localSheetId="0" hidden="1">4</definedName>
    <definedName name="solver_rel792" localSheetId="0" hidden="1">4</definedName>
    <definedName name="solver_rel793" localSheetId="0" hidden="1">4</definedName>
    <definedName name="solver_rel794" localSheetId="0" hidden="1">4</definedName>
    <definedName name="solver_rel795" localSheetId="0" hidden="1">1</definedName>
    <definedName name="solver_rel796" localSheetId="0" hidden="1">1</definedName>
    <definedName name="solver_rel797" localSheetId="0" hidden="1">1</definedName>
    <definedName name="solver_rel798" localSheetId="0" hidden="1">1</definedName>
    <definedName name="solver_rel799" localSheetId="0" hidden="1">1</definedName>
    <definedName name="solver_rel8" localSheetId="0" hidden="1">1</definedName>
    <definedName name="solver_rel80" localSheetId="0" hidden="1">4</definedName>
    <definedName name="solver_rel800" localSheetId="0" hidden="1">1</definedName>
    <definedName name="solver_rel801" localSheetId="0" hidden="1">1</definedName>
    <definedName name="solver_rel802" localSheetId="0" hidden="1">1</definedName>
    <definedName name="solver_rel803" localSheetId="0" hidden="1">1</definedName>
    <definedName name="solver_rel804" localSheetId="0" hidden="1">1</definedName>
    <definedName name="solver_rel805" localSheetId="0" hidden="1">1</definedName>
    <definedName name="solver_rel806" localSheetId="0" hidden="1">1</definedName>
    <definedName name="solver_rel807" localSheetId="0" hidden="1">1</definedName>
    <definedName name="solver_rel808" localSheetId="0" hidden="1">1</definedName>
    <definedName name="solver_rel809" localSheetId="0" hidden="1">1</definedName>
    <definedName name="solver_rel81" localSheetId="0" hidden="1">4</definedName>
    <definedName name="solver_rel810" localSheetId="0" hidden="1">1</definedName>
    <definedName name="solver_rel811" localSheetId="0" hidden="1">1</definedName>
    <definedName name="solver_rel812" localSheetId="0" hidden="1">1</definedName>
    <definedName name="solver_rel813" localSheetId="0" hidden="1">1</definedName>
    <definedName name="solver_rel814" localSheetId="0" hidden="1">1</definedName>
    <definedName name="solver_rel815" localSheetId="0" hidden="1">1</definedName>
    <definedName name="solver_rel816" localSheetId="0" hidden="1">4</definedName>
    <definedName name="solver_rel817" localSheetId="0" hidden="1">4</definedName>
    <definedName name="solver_rel818" localSheetId="0" hidden="1">4</definedName>
    <definedName name="solver_rel819" localSheetId="0" hidden="1">4</definedName>
    <definedName name="solver_rel82" localSheetId="0" hidden="1">4</definedName>
    <definedName name="solver_rel820" localSheetId="0" hidden="1">4</definedName>
    <definedName name="solver_rel821" localSheetId="0" hidden="1">4</definedName>
    <definedName name="solver_rel822" localSheetId="0" hidden="1">4</definedName>
    <definedName name="solver_rel823" localSheetId="0" hidden="1">4</definedName>
    <definedName name="solver_rel824" localSheetId="0" hidden="1">4</definedName>
    <definedName name="solver_rel825" localSheetId="0" hidden="1">4</definedName>
    <definedName name="solver_rel826" localSheetId="0" hidden="1">1</definedName>
    <definedName name="solver_rel827" localSheetId="0" hidden="1">1</definedName>
    <definedName name="solver_rel828" localSheetId="0" hidden="1">1</definedName>
    <definedName name="solver_rel829" localSheetId="0" hidden="1">1</definedName>
    <definedName name="solver_rel83" localSheetId="0" hidden="1">4</definedName>
    <definedName name="solver_rel830" localSheetId="0" hidden="1">1</definedName>
    <definedName name="solver_rel831" localSheetId="0" hidden="1">1</definedName>
    <definedName name="solver_rel832" localSheetId="0" hidden="1">1</definedName>
    <definedName name="solver_rel833" localSheetId="0" hidden="1">1</definedName>
    <definedName name="solver_rel834" localSheetId="0" hidden="1">1</definedName>
    <definedName name="solver_rel835" localSheetId="0" hidden="1">1</definedName>
    <definedName name="solver_rel836" localSheetId="0" hidden="1">1</definedName>
    <definedName name="solver_rel837" localSheetId="0" hidden="1">1</definedName>
    <definedName name="solver_rel838" localSheetId="0" hidden="1">1</definedName>
    <definedName name="solver_rel839" localSheetId="0" hidden="1">1</definedName>
    <definedName name="solver_rel84" localSheetId="0" hidden="1">4</definedName>
    <definedName name="solver_rel840" localSheetId="0" hidden="1">1</definedName>
    <definedName name="solver_rel841" localSheetId="0" hidden="1">1</definedName>
    <definedName name="solver_rel842" localSheetId="0" hidden="1">1</definedName>
    <definedName name="solver_rel843" localSheetId="0" hidden="1">1</definedName>
    <definedName name="solver_rel844" localSheetId="0" hidden="1">1</definedName>
    <definedName name="solver_rel845" localSheetId="0" hidden="1">1</definedName>
    <definedName name="solver_rel846" localSheetId="0" hidden="1">1</definedName>
    <definedName name="solver_rel847" localSheetId="0" hidden="1">4</definedName>
    <definedName name="solver_rel848" localSheetId="0" hidden="1">4</definedName>
    <definedName name="solver_rel849" localSheetId="0" hidden="1">4</definedName>
    <definedName name="solver_rel85" localSheetId="0" hidden="1">1</definedName>
    <definedName name="solver_rel850" localSheetId="0" hidden="1">4</definedName>
    <definedName name="solver_rel851" localSheetId="0" hidden="1">4</definedName>
    <definedName name="solver_rel852" localSheetId="0" hidden="1">4</definedName>
    <definedName name="solver_rel853" localSheetId="0" hidden="1">4</definedName>
    <definedName name="solver_rel854" localSheetId="0" hidden="1">4</definedName>
    <definedName name="solver_rel855" localSheetId="0" hidden="1">4</definedName>
    <definedName name="solver_rel856" localSheetId="0" hidden="1">4</definedName>
    <definedName name="solver_rel857" localSheetId="0" hidden="1">1</definedName>
    <definedName name="solver_rel858" localSheetId="0" hidden="1">1</definedName>
    <definedName name="solver_rel859" localSheetId="0" hidden="1">1</definedName>
    <definedName name="solver_rel86" localSheetId="0" hidden="1">1</definedName>
    <definedName name="solver_rel860" localSheetId="0" hidden="1">1</definedName>
    <definedName name="solver_rel861" localSheetId="0" hidden="1">1</definedName>
    <definedName name="solver_rel862" localSheetId="0" hidden="1">1</definedName>
    <definedName name="solver_rel863" localSheetId="0" hidden="1">1</definedName>
    <definedName name="solver_rel864" localSheetId="0" hidden="1">1</definedName>
    <definedName name="solver_rel865" localSheetId="0" hidden="1">1</definedName>
    <definedName name="solver_rel866" localSheetId="0" hidden="1">1</definedName>
    <definedName name="solver_rel867" localSheetId="0" hidden="1">1</definedName>
    <definedName name="solver_rel868" localSheetId="0" hidden="1">1</definedName>
    <definedName name="solver_rel869" localSheetId="0" hidden="1">1</definedName>
    <definedName name="solver_rel87" localSheetId="0" hidden="1">1</definedName>
    <definedName name="solver_rel870" localSheetId="0" hidden="1">1</definedName>
    <definedName name="solver_rel871" localSheetId="0" hidden="1">1</definedName>
    <definedName name="solver_rel872" localSheetId="0" hidden="1">1</definedName>
    <definedName name="solver_rel873" localSheetId="0" hidden="1">1</definedName>
    <definedName name="solver_rel874" localSheetId="0" hidden="1">1</definedName>
    <definedName name="solver_rel875" localSheetId="0" hidden="1">1</definedName>
    <definedName name="solver_rel876" localSheetId="0" hidden="1">1</definedName>
    <definedName name="solver_rel877" localSheetId="0" hidden="1">1</definedName>
    <definedName name="solver_rel878" localSheetId="0" hidden="1">4</definedName>
    <definedName name="solver_rel879" localSheetId="0" hidden="1">4</definedName>
    <definedName name="solver_rel88" localSheetId="0" hidden="1">1</definedName>
    <definedName name="solver_rel880" localSheetId="0" hidden="1">4</definedName>
    <definedName name="solver_rel881" localSheetId="0" hidden="1">4</definedName>
    <definedName name="solver_rel882" localSheetId="0" hidden="1">4</definedName>
    <definedName name="solver_rel883" localSheetId="0" hidden="1">4</definedName>
    <definedName name="solver_rel884" localSheetId="0" hidden="1">4</definedName>
    <definedName name="solver_rel885" localSheetId="0" hidden="1">4</definedName>
    <definedName name="solver_rel886" localSheetId="0" hidden="1">4</definedName>
    <definedName name="solver_rel887" localSheetId="0" hidden="1">4</definedName>
    <definedName name="solver_rel888" localSheetId="0" hidden="1">1</definedName>
    <definedName name="solver_rel889" localSheetId="0" hidden="1">1</definedName>
    <definedName name="solver_rel89" localSheetId="0" hidden="1">1</definedName>
    <definedName name="solver_rel890" localSheetId="0" hidden="1">1</definedName>
    <definedName name="solver_rel891" localSheetId="0" hidden="1">1</definedName>
    <definedName name="solver_rel892" localSheetId="0" hidden="1">1</definedName>
    <definedName name="solver_rel893" localSheetId="0" hidden="1">1</definedName>
    <definedName name="solver_rel894" localSheetId="0" hidden="1">1</definedName>
    <definedName name="solver_rel895" localSheetId="0" hidden="1">1</definedName>
    <definedName name="solver_rel896" localSheetId="0" hidden="1">1</definedName>
    <definedName name="solver_rel897" localSheetId="0" hidden="1">1</definedName>
    <definedName name="solver_rel898" localSheetId="0" hidden="1">1</definedName>
    <definedName name="solver_rel899" localSheetId="0" hidden="1">1</definedName>
    <definedName name="solver_rel9" localSheetId="0" hidden="1">1</definedName>
    <definedName name="solver_rel90" localSheetId="0" hidden="1">1</definedName>
    <definedName name="solver_rel900" localSheetId="0" hidden="1">1</definedName>
    <definedName name="solver_rel901" localSheetId="0" hidden="1">1</definedName>
    <definedName name="solver_rel902" localSheetId="0" hidden="1">1</definedName>
    <definedName name="solver_rel903" localSheetId="0" hidden="1">1</definedName>
    <definedName name="solver_rel904" localSheetId="0" hidden="1">1</definedName>
    <definedName name="solver_rel905" localSheetId="0" hidden="1">1</definedName>
    <definedName name="solver_rel906" localSheetId="0" hidden="1">1</definedName>
    <definedName name="solver_rel907" localSheetId="0" hidden="1">1</definedName>
    <definedName name="solver_rel908" localSheetId="0" hidden="1">1</definedName>
    <definedName name="solver_rel91" localSheetId="0" hidden="1">1</definedName>
    <definedName name="solver_rel92" localSheetId="0" hidden="1">1</definedName>
    <definedName name="solver_rel93" localSheetId="0" hidden="1">1</definedName>
    <definedName name="solver_rel94" localSheetId="0" hidden="1">1</definedName>
    <definedName name="solver_rel95" localSheetId="0" hidden="1">1</definedName>
    <definedName name="solver_rel96" localSheetId="0" hidden="1">4</definedName>
    <definedName name="solver_rel97" localSheetId="0" hidden="1">4</definedName>
    <definedName name="solver_rel98" localSheetId="0" hidden="1">4</definedName>
    <definedName name="solver_rel99" localSheetId="0" hidden="1">4</definedName>
    <definedName name="solver_rhs1" localSheetId="0" hidden="1">'User Preferences'!$I$2:$I$11</definedName>
    <definedName name="solver_rhs10" localSheetId="0" hidden="1">'User Preferences'!$I$11</definedName>
    <definedName name="solver_rhs100" localSheetId="0" hidden="1">integer</definedName>
    <definedName name="solver_rhs101" localSheetId="0" hidden="1">integer</definedName>
    <definedName name="solver_rhs102" localSheetId="0" hidden="1">integer</definedName>
    <definedName name="solver_rhs103" localSheetId="0" hidden="1">integer</definedName>
    <definedName name="solver_rhs104" localSheetId="0" hidden="1">integer</definedName>
    <definedName name="solver_rhs105" localSheetId="0" hidden="1">integer</definedName>
    <definedName name="solver_rhs106" localSheetId="0" hidden="1">'User Preferences'!$L$2</definedName>
    <definedName name="solver_rhs107" localSheetId="0" hidden="1">'User Preferences'!$L$3</definedName>
    <definedName name="solver_rhs108" localSheetId="0" hidden="1">'User Preferences'!$L$4</definedName>
    <definedName name="solver_rhs109" localSheetId="0" hidden="1">'User Preferences'!$L$5</definedName>
    <definedName name="solver_rhs11" localSheetId="0" hidden="1">'User Preferences'!$M$2</definedName>
    <definedName name="solver_rhs110" localSheetId="0" hidden="1">'User Preferences'!$L$6</definedName>
    <definedName name="solver_rhs111" localSheetId="0" hidden="1">'User Preferences'!$L$7</definedName>
    <definedName name="solver_rhs112" localSheetId="0" hidden="1">'User Preferences'!$L$8</definedName>
    <definedName name="solver_rhs113" localSheetId="0" hidden="1">'User Preferences'!$L$9</definedName>
    <definedName name="solver_rhs114" localSheetId="0" hidden="1">'User Preferences'!$L$10</definedName>
    <definedName name="solver_rhs115" localSheetId="0" hidden="1">'User Preferences'!$L$11</definedName>
    <definedName name="solver_rhs116" localSheetId="0" hidden="1">'User Preferences'!$I$12</definedName>
    <definedName name="solver_rhs117" localSheetId="0" hidden="1">integer</definedName>
    <definedName name="solver_rhs118" localSheetId="0" hidden="1">integer</definedName>
    <definedName name="solver_rhs119" localSheetId="0" hidden="1">integer</definedName>
    <definedName name="solver_rhs12" localSheetId="0" hidden="1">'User Preferences'!$M$3</definedName>
    <definedName name="solver_rhs120" localSheetId="0" hidden="1">integer</definedName>
    <definedName name="solver_rhs121" localSheetId="0" hidden="1">integer</definedName>
    <definedName name="solver_rhs122" localSheetId="0" hidden="1">integer</definedName>
    <definedName name="solver_rhs123" localSheetId="0" hidden="1">integer</definedName>
    <definedName name="solver_rhs124" localSheetId="0" hidden="1">integer</definedName>
    <definedName name="solver_rhs125" localSheetId="0" hidden="1">integer</definedName>
    <definedName name="solver_rhs126" localSheetId="0" hidden="1">integer</definedName>
    <definedName name="solver_rhs127" localSheetId="0" hidden="1">'User Preferences'!$L$2</definedName>
    <definedName name="solver_rhs128" localSheetId="0" hidden="1">'User Preferences'!$L$3</definedName>
    <definedName name="solver_rhs129" localSheetId="0" hidden="1">'User Preferences'!$L$4</definedName>
    <definedName name="solver_rhs13" localSheetId="0" hidden="1">'User Preferences'!$M$4</definedName>
    <definedName name="solver_rhs130" localSheetId="0" hidden="1">'User Preferences'!$L$5</definedName>
    <definedName name="solver_rhs131" localSheetId="0" hidden="1">'User Preferences'!$L$6</definedName>
    <definedName name="solver_rhs132" localSheetId="0" hidden="1">'User Preferences'!$L$7</definedName>
    <definedName name="solver_rhs133" localSheetId="0" hidden="1">'User Preferences'!$L$8</definedName>
    <definedName name="solver_rhs134" localSheetId="0" hidden="1">'User Preferences'!$L$9</definedName>
    <definedName name="solver_rhs135" localSheetId="0" hidden="1">'User Preferences'!$L$10</definedName>
    <definedName name="solver_rhs136" localSheetId="0" hidden="1">'User Preferences'!$L$11</definedName>
    <definedName name="solver_rhs137" localSheetId="0" hidden="1">'User Preferences'!$I$12</definedName>
    <definedName name="solver_rhs138" localSheetId="0" hidden="1">integer</definedName>
    <definedName name="solver_rhs139" localSheetId="0" hidden="1">integer</definedName>
    <definedName name="solver_rhs14" localSheetId="0" hidden="1">'User Preferences'!$M$5</definedName>
    <definedName name="solver_rhs140" localSheetId="0" hidden="1">integer</definedName>
    <definedName name="solver_rhs141" localSheetId="0" hidden="1">integer</definedName>
    <definedName name="solver_rhs142" localSheetId="0" hidden="1">integer</definedName>
    <definedName name="solver_rhs143" localSheetId="0" hidden="1">integer</definedName>
    <definedName name="solver_rhs144" localSheetId="0" hidden="1">integer</definedName>
    <definedName name="solver_rhs145" localSheetId="0" hidden="1">integer</definedName>
    <definedName name="solver_rhs146" localSheetId="0" hidden="1">integer</definedName>
    <definedName name="solver_rhs147" localSheetId="0" hidden="1">integer</definedName>
    <definedName name="solver_rhs148" localSheetId="0" hidden="1">'User Preferences'!$L$2</definedName>
    <definedName name="solver_rhs149" localSheetId="0" hidden="1">'User Preferences'!$L$3</definedName>
    <definedName name="solver_rhs15" localSheetId="0" hidden="1">'User Preferences'!$M$6</definedName>
    <definedName name="solver_rhs150" localSheetId="0" hidden="1">'User Preferences'!$L$4</definedName>
    <definedName name="solver_rhs151" localSheetId="0" hidden="1">'User Preferences'!$L$5</definedName>
    <definedName name="solver_rhs152" localSheetId="0" hidden="1">'User Preferences'!$L$6</definedName>
    <definedName name="solver_rhs153" localSheetId="0" hidden="1">'User Preferences'!$L$7</definedName>
    <definedName name="solver_rhs154" localSheetId="0" hidden="1">'User Preferences'!$L$8</definedName>
    <definedName name="solver_rhs155" localSheetId="0" hidden="1">'User Preferences'!$L$9</definedName>
    <definedName name="solver_rhs156" localSheetId="0" hidden="1">'User Preferences'!$L$10</definedName>
    <definedName name="solver_rhs157" localSheetId="0" hidden="1">'User Preferences'!$L$11</definedName>
    <definedName name="solver_rhs158" localSheetId="0" hidden="1">'User Preferences'!$I$12</definedName>
    <definedName name="solver_rhs159" localSheetId="0" hidden="1">integer</definedName>
    <definedName name="solver_rhs16" localSheetId="0" hidden="1">'User Preferences'!$M$7</definedName>
    <definedName name="solver_rhs160" localSheetId="0" hidden="1">integer</definedName>
    <definedName name="solver_rhs161" localSheetId="0" hidden="1">integer</definedName>
    <definedName name="solver_rhs162" localSheetId="0" hidden="1">integer</definedName>
    <definedName name="solver_rhs163" localSheetId="0" hidden="1">integer</definedName>
    <definedName name="solver_rhs164" localSheetId="0" hidden="1">integer</definedName>
    <definedName name="solver_rhs165" localSheetId="0" hidden="1">integer</definedName>
    <definedName name="solver_rhs166" localSheetId="0" hidden="1">integer</definedName>
    <definedName name="solver_rhs167" localSheetId="0" hidden="1">integer</definedName>
    <definedName name="solver_rhs168" localSheetId="0" hidden="1">integer</definedName>
    <definedName name="solver_rhs169" localSheetId="0" hidden="1">'User Preferences'!$L$2</definedName>
    <definedName name="solver_rhs17" localSheetId="0" hidden="1">'User Preferences'!$M$8</definedName>
    <definedName name="solver_rhs170" localSheetId="0" hidden="1">'User Preferences'!$L$3</definedName>
    <definedName name="solver_rhs171" localSheetId="0" hidden="1">'User Preferences'!$L$4</definedName>
    <definedName name="solver_rhs172" localSheetId="0" hidden="1">'User Preferences'!$L$5</definedName>
    <definedName name="solver_rhs173" localSheetId="0" hidden="1">'User Preferences'!$L$6</definedName>
    <definedName name="solver_rhs174" localSheetId="0" hidden="1">'User Preferences'!$L$7</definedName>
    <definedName name="solver_rhs175" localSheetId="0" hidden="1">'User Preferences'!$L$8</definedName>
    <definedName name="solver_rhs176" localSheetId="0" hidden="1">'User Preferences'!$L$9</definedName>
    <definedName name="solver_rhs177" localSheetId="0" hidden="1">'User Preferences'!$L$10</definedName>
    <definedName name="solver_rhs178" localSheetId="0" hidden="1">'User Preferences'!$L$11</definedName>
    <definedName name="solver_rhs179" localSheetId="0" hidden="1">'User Preferences'!$I$12</definedName>
    <definedName name="solver_rhs18" localSheetId="0" hidden="1">'User Preferences'!$M$9</definedName>
    <definedName name="solver_rhs180" localSheetId="0" hidden="1">integer</definedName>
    <definedName name="solver_rhs181" localSheetId="0" hidden="1">integer</definedName>
    <definedName name="solver_rhs182" localSheetId="0" hidden="1">integer</definedName>
    <definedName name="solver_rhs183" localSheetId="0" hidden="1">integer</definedName>
    <definedName name="solver_rhs184" localSheetId="0" hidden="1">integer</definedName>
    <definedName name="solver_rhs185" localSheetId="0" hidden="1">integer</definedName>
    <definedName name="solver_rhs186" localSheetId="0" hidden="1">integer</definedName>
    <definedName name="solver_rhs187" localSheetId="0" hidden="1">integer</definedName>
    <definedName name="solver_rhs188" localSheetId="0" hidden="1">integer</definedName>
    <definedName name="solver_rhs189" localSheetId="0" hidden="1">integer</definedName>
    <definedName name="solver_rhs19" localSheetId="0" hidden="1">'User Preferences'!$M$10</definedName>
    <definedName name="solver_rhs190" localSheetId="0" hidden="1">'User Preferences'!$L$2</definedName>
    <definedName name="solver_rhs191" localSheetId="0" hidden="1">'User Preferences'!$L$3</definedName>
    <definedName name="solver_rhs192" localSheetId="0" hidden="1">'User Preferences'!$L$4</definedName>
    <definedName name="solver_rhs193" localSheetId="0" hidden="1">'User Preferences'!$L$5</definedName>
    <definedName name="solver_rhs194" localSheetId="0" hidden="1">'User Preferences'!$L$6</definedName>
    <definedName name="solver_rhs195" localSheetId="0" hidden="1">'User Preferences'!$L$7</definedName>
    <definedName name="solver_rhs196" localSheetId="0" hidden="1">'User Preferences'!$L$8</definedName>
    <definedName name="solver_rhs197" localSheetId="0" hidden="1">'User Preferences'!$L$9</definedName>
    <definedName name="solver_rhs198" localSheetId="0" hidden="1">'User Preferences'!$L$10</definedName>
    <definedName name="solver_rhs199" localSheetId="0" hidden="1">'User Preferences'!$L$11</definedName>
    <definedName name="solver_rhs2" localSheetId="0" hidden="1">'User Preferences'!$M$2:$M$11</definedName>
    <definedName name="solver_rhs20" localSheetId="0" hidden="1">'User Preferences'!$M$11</definedName>
    <definedName name="solver_rhs200" localSheetId="0" hidden="1">'User Preferences'!$I$12</definedName>
    <definedName name="solver_rhs201" localSheetId="0" hidden="1">integer</definedName>
    <definedName name="solver_rhs202" localSheetId="0" hidden="1">integer</definedName>
    <definedName name="solver_rhs203" localSheetId="0" hidden="1">integer</definedName>
    <definedName name="solver_rhs204" localSheetId="0" hidden="1">integer</definedName>
    <definedName name="solver_rhs205" localSheetId="0" hidden="1">integer</definedName>
    <definedName name="solver_rhs206" localSheetId="0" hidden="1">integer</definedName>
    <definedName name="solver_rhs207" localSheetId="0" hidden="1">integer</definedName>
    <definedName name="solver_rhs208" localSheetId="0" hidden="1">integer</definedName>
    <definedName name="solver_rhs209" localSheetId="0" hidden="1">integer</definedName>
    <definedName name="solver_rhs21" localSheetId="0" hidden="1">'User Preferences'!$B$12</definedName>
    <definedName name="solver_rhs210" localSheetId="0" hidden="1">integer</definedName>
    <definedName name="solver_rhs211" localSheetId="0" hidden="1">'User Preferences'!$L$2</definedName>
    <definedName name="solver_rhs212" localSheetId="0" hidden="1">'User Preferences'!$L$3</definedName>
    <definedName name="solver_rhs213" localSheetId="0" hidden="1">'User Preferences'!$L$4</definedName>
    <definedName name="solver_rhs214" localSheetId="0" hidden="1">'User Preferences'!$L$5</definedName>
    <definedName name="solver_rhs215" localSheetId="0" hidden="1">'User Preferences'!$L$6</definedName>
    <definedName name="solver_rhs216" localSheetId="0" hidden="1">'User Preferences'!$L$7</definedName>
    <definedName name="solver_rhs217" localSheetId="0" hidden="1">'User Preferences'!$L$8</definedName>
    <definedName name="solver_rhs218" localSheetId="0" hidden="1">'User Preferences'!$L$9</definedName>
    <definedName name="solver_rhs219" localSheetId="0" hidden="1">'User Preferences'!$L$10</definedName>
    <definedName name="solver_rhs22" localSheetId="0" hidden="1">'User Preferences'!$M$7</definedName>
    <definedName name="solver_rhs220" localSheetId="0" hidden="1">'User Preferences'!$L$11</definedName>
    <definedName name="solver_rhs221" localSheetId="0" hidden="1">'User Preferences'!$I$12</definedName>
    <definedName name="solver_rhs222" localSheetId="0" hidden="1">integer</definedName>
    <definedName name="solver_rhs223" localSheetId="0" hidden="1">integer</definedName>
    <definedName name="solver_rhs224" localSheetId="0" hidden="1">integer</definedName>
    <definedName name="solver_rhs225" localSheetId="0" hidden="1">integer</definedName>
    <definedName name="solver_rhs226" localSheetId="0" hidden="1">integer</definedName>
    <definedName name="solver_rhs227" localSheetId="0" hidden="1">integer</definedName>
    <definedName name="solver_rhs228" localSheetId="0" hidden="1">integer</definedName>
    <definedName name="solver_rhs229" localSheetId="0" hidden="1">integer</definedName>
    <definedName name="solver_rhs23" localSheetId="0" hidden="1">'User Preferences'!$L$3</definedName>
    <definedName name="solver_rhs230" localSheetId="0" hidden="1">integer</definedName>
    <definedName name="solver_rhs231" localSheetId="0" hidden="1">integer</definedName>
    <definedName name="solver_rhs232" localSheetId="0" hidden="1">'User Preferences'!$L$2</definedName>
    <definedName name="solver_rhs233" localSheetId="0" hidden="1">'User Preferences'!$L$3</definedName>
    <definedName name="solver_rhs234" localSheetId="0" hidden="1">'User Preferences'!$L$4</definedName>
    <definedName name="solver_rhs235" localSheetId="0" hidden="1">'User Preferences'!$L$5</definedName>
    <definedName name="solver_rhs236" localSheetId="0" hidden="1">'User Preferences'!$L$6</definedName>
    <definedName name="solver_rhs237" localSheetId="0" hidden="1">'User Preferences'!$L$7</definedName>
    <definedName name="solver_rhs238" localSheetId="0" hidden="1">'User Preferences'!$L$8</definedName>
    <definedName name="solver_rhs239" localSheetId="0" hidden="1">'User Preferences'!$L$9</definedName>
    <definedName name="solver_rhs24" localSheetId="0" hidden="1">'User Preferences'!$L$4</definedName>
    <definedName name="solver_rhs240" localSheetId="0" hidden="1">'User Preferences'!$L$10</definedName>
    <definedName name="solver_rhs241" localSheetId="0" hidden="1">'User Preferences'!$L$11</definedName>
    <definedName name="solver_rhs242" localSheetId="0" hidden="1">'User Preferences'!$I$12</definedName>
    <definedName name="solver_rhs243" localSheetId="0" hidden="1">integer</definedName>
    <definedName name="solver_rhs244" localSheetId="0" hidden="1">integer</definedName>
    <definedName name="solver_rhs245" localSheetId="0" hidden="1">integer</definedName>
    <definedName name="solver_rhs246" localSheetId="0" hidden="1">integer</definedName>
    <definedName name="solver_rhs247" localSheetId="0" hidden="1">integer</definedName>
    <definedName name="solver_rhs248" localSheetId="0" hidden="1">integer</definedName>
    <definedName name="solver_rhs249" localSheetId="0" hidden="1">integer</definedName>
    <definedName name="solver_rhs25" localSheetId="0" hidden="1">'User Preferences'!$L$5</definedName>
    <definedName name="solver_rhs250" localSheetId="0" hidden="1">integer</definedName>
    <definedName name="solver_rhs251" localSheetId="0" hidden="1">integer</definedName>
    <definedName name="solver_rhs252" localSheetId="0" hidden="1">integer</definedName>
    <definedName name="solver_rhs253" localSheetId="0" hidden="1">'User Preferences'!$L$2</definedName>
    <definedName name="solver_rhs254" localSheetId="0" hidden="1">'User Preferences'!$L$3</definedName>
    <definedName name="solver_rhs255" localSheetId="0" hidden="1">'User Preferences'!$L$4</definedName>
    <definedName name="solver_rhs256" localSheetId="0" hidden="1">'User Preferences'!$L$5</definedName>
    <definedName name="solver_rhs257" localSheetId="0" hidden="1">'User Preferences'!$L$6</definedName>
    <definedName name="solver_rhs258" localSheetId="0" hidden="1">'User Preferences'!$L$7</definedName>
    <definedName name="solver_rhs259" localSheetId="0" hidden="1">'User Preferences'!$L$8</definedName>
    <definedName name="solver_rhs26" localSheetId="0" hidden="1">'User Preferences'!$L$6</definedName>
    <definedName name="solver_rhs260" localSheetId="0" hidden="1">'User Preferences'!$L$9</definedName>
    <definedName name="solver_rhs261" localSheetId="0" hidden="1">'User Preferences'!$L$10</definedName>
    <definedName name="solver_rhs262" localSheetId="0" hidden="1">'User Preferences'!$L$11</definedName>
    <definedName name="solver_rhs263" localSheetId="0" hidden="1">'User Preferences'!$I$12</definedName>
    <definedName name="solver_rhs264" localSheetId="0" hidden="1">integer</definedName>
    <definedName name="solver_rhs265" localSheetId="0" hidden="1">integer</definedName>
    <definedName name="solver_rhs266" localSheetId="0" hidden="1">integer</definedName>
    <definedName name="solver_rhs267" localSheetId="0" hidden="1">integer</definedName>
    <definedName name="solver_rhs268" localSheetId="0" hidden="1">integer</definedName>
    <definedName name="solver_rhs269" localSheetId="0" hidden="1">integer</definedName>
    <definedName name="solver_rhs27" localSheetId="0" hidden="1">'User Preferences'!$L$7</definedName>
    <definedName name="solver_rhs270" localSheetId="0" hidden="1">integer</definedName>
    <definedName name="solver_rhs271" localSheetId="0" hidden="1">integer</definedName>
    <definedName name="solver_rhs272" localSheetId="0" hidden="1">integer</definedName>
    <definedName name="solver_rhs273" localSheetId="0" hidden="1">integer</definedName>
    <definedName name="solver_rhs274" localSheetId="0" hidden="1">'User Preferences'!$L$2</definedName>
    <definedName name="solver_rhs275" localSheetId="0" hidden="1">'User Preferences'!$L$3</definedName>
    <definedName name="solver_rhs276" localSheetId="0" hidden="1">'User Preferences'!$L$4</definedName>
    <definedName name="solver_rhs277" localSheetId="0" hidden="1">'User Preferences'!$L$5</definedName>
    <definedName name="solver_rhs278" localSheetId="0" hidden="1">'User Preferences'!$L$6</definedName>
    <definedName name="solver_rhs279" localSheetId="0" hidden="1">'User Preferences'!$L$7</definedName>
    <definedName name="solver_rhs28" localSheetId="0" hidden="1">'User Preferences'!$L$8</definedName>
    <definedName name="solver_rhs280" localSheetId="0" hidden="1">'User Preferences'!$L$8</definedName>
    <definedName name="solver_rhs281" localSheetId="0" hidden="1">'User Preferences'!$L$9</definedName>
    <definedName name="solver_rhs282" localSheetId="0" hidden="1">'User Preferences'!$L$10</definedName>
    <definedName name="solver_rhs283" localSheetId="0" hidden="1">'User Preferences'!$L$11</definedName>
    <definedName name="solver_rhs284" localSheetId="0" hidden="1">'User Preferences'!$I$12</definedName>
    <definedName name="solver_rhs285" localSheetId="0" hidden="1">integer</definedName>
    <definedName name="solver_rhs286" localSheetId="0" hidden="1">integer</definedName>
    <definedName name="solver_rhs287" localSheetId="0" hidden="1">integer</definedName>
    <definedName name="solver_rhs288" localSheetId="0" hidden="1">integer</definedName>
    <definedName name="solver_rhs289" localSheetId="0" hidden="1">integer</definedName>
    <definedName name="solver_rhs29" localSheetId="0" hidden="1">'User Preferences'!$L$9</definedName>
    <definedName name="solver_rhs290" localSheetId="0" hidden="1">integer</definedName>
    <definedName name="solver_rhs291" localSheetId="0" hidden="1">integer</definedName>
    <definedName name="solver_rhs292" localSheetId="0" hidden="1">integer</definedName>
    <definedName name="solver_rhs293" localSheetId="0" hidden="1">integer</definedName>
    <definedName name="solver_rhs294" localSheetId="0" hidden="1">integer</definedName>
    <definedName name="solver_rhs295" localSheetId="0" hidden="1">'User Preferences'!$L$2</definedName>
    <definedName name="solver_rhs296" localSheetId="0" hidden="1">'User Preferences'!$L$3</definedName>
    <definedName name="solver_rhs297" localSheetId="0" hidden="1">'User Preferences'!$L$4</definedName>
    <definedName name="solver_rhs298" localSheetId="0" hidden="1">'User Preferences'!$L$5</definedName>
    <definedName name="solver_rhs299" localSheetId="0" hidden="1">'User Preferences'!$L$6</definedName>
    <definedName name="solver_rhs3" localSheetId="0" hidden="1">'User Preferences'!$B$12</definedName>
    <definedName name="solver_rhs30" localSheetId="0" hidden="1">'User Preferences'!$L$10</definedName>
    <definedName name="solver_rhs300" localSheetId="0" hidden="1">'User Preferences'!$L$7</definedName>
    <definedName name="solver_rhs301" localSheetId="0" hidden="1">'User Preferences'!$L$8</definedName>
    <definedName name="solver_rhs302" localSheetId="0" hidden="1">'User Preferences'!$L$9</definedName>
    <definedName name="solver_rhs303" localSheetId="0" hidden="1">'User Preferences'!$L$10</definedName>
    <definedName name="solver_rhs304" localSheetId="0" hidden="1">'User Preferences'!$L$11</definedName>
    <definedName name="solver_rhs305" localSheetId="0" hidden="1">'User Preferences'!$I$12</definedName>
    <definedName name="solver_rhs306" localSheetId="0" hidden="1">integer</definedName>
    <definedName name="solver_rhs307" localSheetId="0" hidden="1">integer</definedName>
    <definedName name="solver_rhs308" localSheetId="0" hidden="1">integer</definedName>
    <definedName name="solver_rhs309" localSheetId="0" hidden="1">integer</definedName>
    <definedName name="solver_rhs31" localSheetId="0" hidden="1">'User Preferences'!$L$11</definedName>
    <definedName name="solver_rhs310" localSheetId="0" hidden="1">integer</definedName>
    <definedName name="solver_rhs311" localSheetId="0" hidden="1">integer</definedName>
    <definedName name="solver_rhs312" localSheetId="0" hidden="1">integer</definedName>
    <definedName name="solver_rhs313" localSheetId="0" hidden="1">integer</definedName>
    <definedName name="solver_rhs314" localSheetId="0" hidden="1">integer</definedName>
    <definedName name="solver_rhs315" localSheetId="0" hidden="1">integer</definedName>
    <definedName name="solver_rhs316" localSheetId="0" hidden="1">'User Preferences'!$L$2</definedName>
    <definedName name="solver_rhs317" localSheetId="0" hidden="1">'User Preferences'!$L$3</definedName>
    <definedName name="solver_rhs318" localSheetId="0" hidden="1">'User Preferences'!$L$4</definedName>
    <definedName name="solver_rhs319" localSheetId="0" hidden="1">'User Preferences'!$L$5</definedName>
    <definedName name="solver_rhs32" localSheetId="0" hidden="1">'User Preferences'!$I$12</definedName>
    <definedName name="solver_rhs320" localSheetId="0" hidden="1">'User Preferences'!$L$6</definedName>
    <definedName name="solver_rhs321" localSheetId="0" hidden="1">'User Preferences'!$L$7</definedName>
    <definedName name="solver_rhs322" localSheetId="0" hidden="1">'User Preferences'!$L$8</definedName>
    <definedName name="solver_rhs323" localSheetId="0" hidden="1">'User Preferences'!$L$9</definedName>
    <definedName name="solver_rhs324" localSheetId="0" hidden="1">'User Preferences'!$L$10</definedName>
    <definedName name="solver_rhs325" localSheetId="0" hidden="1">'User Preferences'!$L$11</definedName>
    <definedName name="solver_rhs326" localSheetId="0" hidden="1">'User Preferences'!$I$12</definedName>
    <definedName name="solver_rhs327" localSheetId="0" hidden="1">integer</definedName>
    <definedName name="solver_rhs328" localSheetId="0" hidden="1">integer</definedName>
    <definedName name="solver_rhs329" localSheetId="0" hidden="1">integer</definedName>
    <definedName name="solver_rhs33" localSheetId="0" hidden="1">integer</definedName>
    <definedName name="solver_rhs330" localSheetId="0" hidden="1">integer</definedName>
    <definedName name="solver_rhs331" localSheetId="0" hidden="1">integer</definedName>
    <definedName name="solver_rhs332" localSheetId="0" hidden="1">integer</definedName>
    <definedName name="solver_rhs333" localSheetId="0" hidden="1">integer</definedName>
    <definedName name="solver_rhs334" localSheetId="0" hidden="1">integer</definedName>
    <definedName name="solver_rhs335" localSheetId="0" hidden="1">integer</definedName>
    <definedName name="solver_rhs336" localSheetId="0" hidden="1">integer</definedName>
    <definedName name="solver_rhs337" localSheetId="0" hidden="1">'User Preferences'!$L$2</definedName>
    <definedName name="solver_rhs338" localSheetId="0" hidden="1">'User Preferences'!$L$3</definedName>
    <definedName name="solver_rhs339" localSheetId="0" hidden="1">'User Preferences'!$L$4</definedName>
    <definedName name="solver_rhs34" localSheetId="0" hidden="1">integer</definedName>
    <definedName name="solver_rhs340" localSheetId="0" hidden="1">'User Preferences'!$L$5</definedName>
    <definedName name="solver_rhs341" localSheetId="0" hidden="1">'User Preferences'!$L$6</definedName>
    <definedName name="solver_rhs342" localSheetId="0" hidden="1">'User Preferences'!$L$7</definedName>
    <definedName name="solver_rhs343" localSheetId="0" hidden="1">'User Preferences'!$L$8</definedName>
    <definedName name="solver_rhs344" localSheetId="0" hidden="1">'User Preferences'!$L$9</definedName>
    <definedName name="solver_rhs345" localSheetId="0" hidden="1">'User Preferences'!$L$10</definedName>
    <definedName name="solver_rhs346" localSheetId="0" hidden="1">'User Preferences'!$L$11</definedName>
    <definedName name="solver_rhs347" localSheetId="0" hidden="1">'User Preferences'!$I$12</definedName>
    <definedName name="solver_rhs348" localSheetId="0" hidden="1">integer</definedName>
    <definedName name="solver_rhs349" localSheetId="0" hidden="1">integer</definedName>
    <definedName name="solver_rhs35" localSheetId="0" hidden="1">integer</definedName>
    <definedName name="solver_rhs350" localSheetId="0" hidden="1">integer</definedName>
    <definedName name="solver_rhs351" localSheetId="0" hidden="1">integer</definedName>
    <definedName name="solver_rhs352" localSheetId="0" hidden="1">integer</definedName>
    <definedName name="solver_rhs353" localSheetId="0" hidden="1">integer</definedName>
    <definedName name="solver_rhs354" localSheetId="0" hidden="1">integer</definedName>
    <definedName name="solver_rhs355" localSheetId="0" hidden="1">integer</definedName>
    <definedName name="solver_rhs356" localSheetId="0" hidden="1">integer</definedName>
    <definedName name="solver_rhs357" localSheetId="0" hidden="1">integer</definedName>
    <definedName name="solver_rhs358" localSheetId="0" hidden="1">'User Preferences'!$L$2</definedName>
    <definedName name="solver_rhs359" localSheetId="0" hidden="1">'User Preferences'!$L$3</definedName>
    <definedName name="solver_rhs36" localSheetId="0" hidden="1">integer</definedName>
    <definedName name="solver_rhs360" localSheetId="0" hidden="1">'User Preferences'!$L$4</definedName>
    <definedName name="solver_rhs361" localSheetId="0" hidden="1">'User Preferences'!$L$5</definedName>
    <definedName name="solver_rhs362" localSheetId="0" hidden="1">'User Preferences'!$L$6</definedName>
    <definedName name="solver_rhs363" localSheetId="0" hidden="1">'User Preferences'!$L$7</definedName>
    <definedName name="solver_rhs364" localSheetId="0" hidden="1">'User Preferences'!$L$8</definedName>
    <definedName name="solver_rhs365" localSheetId="0" hidden="1">'User Preferences'!$L$9</definedName>
    <definedName name="solver_rhs366" localSheetId="0" hidden="1">'User Preferences'!$L$10</definedName>
    <definedName name="solver_rhs367" localSheetId="0" hidden="1">'User Preferences'!$L$11</definedName>
    <definedName name="solver_rhs368" localSheetId="0" hidden="1">'User Preferences'!$I$12</definedName>
    <definedName name="solver_rhs369" localSheetId="0" hidden="1">integer</definedName>
    <definedName name="solver_rhs37" localSheetId="0" hidden="1">integer</definedName>
    <definedName name="solver_rhs370" localSheetId="0" hidden="1">integer</definedName>
    <definedName name="solver_rhs371" localSheetId="0" hidden="1">integer</definedName>
    <definedName name="solver_rhs372" localSheetId="0" hidden="1">integer</definedName>
    <definedName name="solver_rhs373" localSheetId="0" hidden="1">integer</definedName>
    <definedName name="solver_rhs374" localSheetId="0" hidden="1">integer</definedName>
    <definedName name="solver_rhs375" localSheetId="0" hidden="1">integer</definedName>
    <definedName name="solver_rhs376" localSheetId="0" hidden="1">integer</definedName>
    <definedName name="solver_rhs377" localSheetId="0" hidden="1">integer</definedName>
    <definedName name="solver_rhs378" localSheetId="0" hidden="1">integer</definedName>
    <definedName name="solver_rhs379" localSheetId="0" hidden="1">'User Preferences'!$L$2</definedName>
    <definedName name="solver_rhs38" localSheetId="0" hidden="1">integer</definedName>
    <definedName name="solver_rhs380" localSheetId="0" hidden="1">'User Preferences'!$L$3</definedName>
    <definedName name="solver_rhs381" localSheetId="0" hidden="1">'User Preferences'!$L$4</definedName>
    <definedName name="solver_rhs382" localSheetId="0" hidden="1">'User Preferences'!$L$5</definedName>
    <definedName name="solver_rhs383" localSheetId="0" hidden="1">'User Preferences'!$L$6</definedName>
    <definedName name="solver_rhs384" localSheetId="0" hidden="1">'User Preferences'!$L$7</definedName>
    <definedName name="solver_rhs385" localSheetId="0" hidden="1">'User Preferences'!$L$8</definedName>
    <definedName name="solver_rhs386" localSheetId="0" hidden="1">'User Preferences'!$L$9</definedName>
    <definedName name="solver_rhs387" localSheetId="0" hidden="1">'User Preferences'!$L$10</definedName>
    <definedName name="solver_rhs388" localSheetId="0" hidden="1">'User Preferences'!$L$11</definedName>
    <definedName name="solver_rhs389" localSheetId="0" hidden="1">'User Preferences'!$I$12</definedName>
    <definedName name="solver_rhs39" localSheetId="0" hidden="1">integer</definedName>
    <definedName name="solver_rhs390" localSheetId="0" hidden="1">integer</definedName>
    <definedName name="solver_rhs391" localSheetId="0" hidden="1">integer</definedName>
    <definedName name="solver_rhs392" localSheetId="0" hidden="1">integer</definedName>
    <definedName name="solver_rhs393" localSheetId="0" hidden="1">integer</definedName>
    <definedName name="solver_rhs394" localSheetId="0" hidden="1">integer</definedName>
    <definedName name="solver_rhs395" localSheetId="0" hidden="1">integer</definedName>
    <definedName name="solver_rhs396" localSheetId="0" hidden="1">integer</definedName>
    <definedName name="solver_rhs397" localSheetId="0" hidden="1">integer</definedName>
    <definedName name="solver_rhs398" localSheetId="0" hidden="1">integer</definedName>
    <definedName name="solver_rhs399" localSheetId="0" hidden="1">integer</definedName>
    <definedName name="solver_rhs4" localSheetId="0" hidden="1">integer</definedName>
    <definedName name="solver_rhs40" localSheetId="0" hidden="1">integer</definedName>
    <definedName name="solver_rhs400" localSheetId="0" hidden="1">'User Preferences'!$L$2</definedName>
    <definedName name="solver_rhs401" localSheetId="0" hidden="1">'User Preferences'!$L$3</definedName>
    <definedName name="solver_rhs402" localSheetId="0" hidden="1">'User Preferences'!$L$4</definedName>
    <definedName name="solver_rhs403" localSheetId="0" hidden="1">'User Preferences'!$L$5</definedName>
    <definedName name="solver_rhs404" localSheetId="0" hidden="1">'User Preferences'!$L$6</definedName>
    <definedName name="solver_rhs405" localSheetId="0" hidden="1">'User Preferences'!$L$7</definedName>
    <definedName name="solver_rhs406" localSheetId="0" hidden="1">'User Preferences'!$L$8</definedName>
    <definedName name="solver_rhs407" localSheetId="0" hidden="1">'User Preferences'!$L$9</definedName>
    <definedName name="solver_rhs408" localSheetId="0" hidden="1">'User Preferences'!$L$10</definedName>
    <definedName name="solver_rhs409" localSheetId="0" hidden="1">'User Preferences'!$L$11</definedName>
    <definedName name="solver_rhs41" localSheetId="0" hidden="1">integer</definedName>
    <definedName name="solver_rhs410" localSheetId="0" hidden="1">'User Preferences'!$I$12</definedName>
    <definedName name="solver_rhs411" localSheetId="0" hidden="1">integer</definedName>
    <definedName name="solver_rhs412" localSheetId="0" hidden="1">integer</definedName>
    <definedName name="solver_rhs413" localSheetId="0" hidden="1">integer</definedName>
    <definedName name="solver_rhs414" localSheetId="0" hidden="1">integer</definedName>
    <definedName name="solver_rhs415" localSheetId="0" hidden="1">integer</definedName>
    <definedName name="solver_rhs416" localSheetId="0" hidden="1">integer</definedName>
    <definedName name="solver_rhs417" localSheetId="0" hidden="1">integer</definedName>
    <definedName name="solver_rhs418" localSheetId="0" hidden="1">integer</definedName>
    <definedName name="solver_rhs419" localSheetId="0" hidden="1">integer</definedName>
    <definedName name="solver_rhs42" localSheetId="0" hidden="1">integer</definedName>
    <definedName name="solver_rhs420" localSheetId="0" hidden="1">integer</definedName>
    <definedName name="solver_rhs421" localSheetId="0" hidden="1">'User Preferences'!$L$2</definedName>
    <definedName name="solver_rhs422" localSheetId="0" hidden="1">'User Preferences'!$L$3</definedName>
    <definedName name="solver_rhs423" localSheetId="0" hidden="1">'User Preferences'!$L$4</definedName>
    <definedName name="solver_rhs424" localSheetId="0" hidden="1">'User Preferences'!$L$5</definedName>
    <definedName name="solver_rhs425" localSheetId="0" hidden="1">'User Preferences'!$L$6</definedName>
    <definedName name="solver_rhs426" localSheetId="0" hidden="1">'User Preferences'!$L$7</definedName>
    <definedName name="solver_rhs427" localSheetId="0" hidden="1">'User Preferences'!$L$8</definedName>
    <definedName name="solver_rhs428" localSheetId="0" hidden="1">'User Preferences'!$L$9</definedName>
    <definedName name="solver_rhs429" localSheetId="0" hidden="1">'User Preferences'!$L$10</definedName>
    <definedName name="solver_rhs43" localSheetId="0" hidden="1">'User Preferences'!$L$2</definedName>
    <definedName name="solver_rhs430" localSheetId="0" hidden="1">'User Preferences'!$L$11</definedName>
    <definedName name="solver_rhs431" localSheetId="0" hidden="1">'User Preferences'!$I$12</definedName>
    <definedName name="solver_rhs432" localSheetId="0" hidden="1">integer</definedName>
    <definedName name="solver_rhs433" localSheetId="0" hidden="1">integer</definedName>
    <definedName name="solver_rhs434" localSheetId="0" hidden="1">integer</definedName>
    <definedName name="solver_rhs435" localSheetId="0" hidden="1">integer</definedName>
    <definedName name="solver_rhs436" localSheetId="0" hidden="1">integer</definedName>
    <definedName name="solver_rhs437" localSheetId="0" hidden="1">integer</definedName>
    <definedName name="solver_rhs438" localSheetId="0" hidden="1">integer</definedName>
    <definedName name="solver_rhs439" localSheetId="0" hidden="1">integer</definedName>
    <definedName name="solver_rhs44" localSheetId="0" hidden="1">'User Preferences'!$L$3</definedName>
    <definedName name="solver_rhs440" localSheetId="0" hidden="1">integer</definedName>
    <definedName name="solver_rhs441" localSheetId="0" hidden="1">integer</definedName>
    <definedName name="solver_rhs442" localSheetId="0" hidden="1">'User Preferences'!$L$2</definedName>
    <definedName name="solver_rhs443" localSheetId="0" hidden="1">'User Preferences'!$L$3</definedName>
    <definedName name="solver_rhs444" localSheetId="0" hidden="1">'User Preferences'!$L$4</definedName>
    <definedName name="solver_rhs445" localSheetId="0" hidden="1">'User Preferences'!$L$5</definedName>
    <definedName name="solver_rhs446" localSheetId="0" hidden="1">'User Preferences'!$L$6</definedName>
    <definedName name="solver_rhs447" localSheetId="0" hidden="1">'User Preferences'!$L$7</definedName>
    <definedName name="solver_rhs448" localSheetId="0" hidden="1">'User Preferences'!$L$8</definedName>
    <definedName name="solver_rhs449" localSheetId="0" hidden="1">'User Preferences'!$L$9</definedName>
    <definedName name="solver_rhs45" localSheetId="0" hidden="1">'User Preferences'!$L$4</definedName>
    <definedName name="solver_rhs450" localSheetId="0" hidden="1">'User Preferences'!$L$10</definedName>
    <definedName name="solver_rhs451" localSheetId="0" hidden="1">'User Preferences'!$L$11</definedName>
    <definedName name="solver_rhs452" localSheetId="0" hidden="1">'User Preferences'!$I$12</definedName>
    <definedName name="solver_rhs453" localSheetId="0" hidden="1">integer</definedName>
    <definedName name="solver_rhs454" localSheetId="0" hidden="1">integer</definedName>
    <definedName name="solver_rhs455" localSheetId="0" hidden="1">integer</definedName>
    <definedName name="solver_rhs456" localSheetId="0" hidden="1">integer</definedName>
    <definedName name="solver_rhs457" localSheetId="0" hidden="1">integer</definedName>
    <definedName name="solver_rhs458" localSheetId="0" hidden="1">integer</definedName>
    <definedName name="solver_rhs459" localSheetId="0" hidden="1">integer</definedName>
    <definedName name="solver_rhs46" localSheetId="0" hidden="1">'User Preferences'!$L$5</definedName>
    <definedName name="solver_rhs460" localSheetId="0" hidden="1">integer</definedName>
    <definedName name="solver_rhs461" localSheetId="0" hidden="1">integer</definedName>
    <definedName name="solver_rhs462" localSheetId="0" hidden="1">integer</definedName>
    <definedName name="solver_rhs463" localSheetId="0" hidden="1">'User Preferences'!$L$2</definedName>
    <definedName name="solver_rhs464" localSheetId="0" hidden="1">'User Preferences'!$L$3</definedName>
    <definedName name="solver_rhs465" localSheetId="0" hidden="1">'User Preferences'!$L$4</definedName>
    <definedName name="solver_rhs466" localSheetId="0" hidden="1">'User Preferences'!$L$5</definedName>
    <definedName name="solver_rhs467" localSheetId="0" hidden="1">'User Preferences'!$L$6</definedName>
    <definedName name="solver_rhs468" localSheetId="0" hidden="1">'User Preferences'!$L$7</definedName>
    <definedName name="solver_rhs469" localSheetId="0" hidden="1">'User Preferences'!$L$8</definedName>
    <definedName name="solver_rhs47" localSheetId="0" hidden="1">'User Preferences'!$L$6</definedName>
    <definedName name="solver_rhs470" localSheetId="0" hidden="1">'User Preferences'!$L$9</definedName>
    <definedName name="solver_rhs471" localSheetId="0" hidden="1">'User Preferences'!$L$10</definedName>
    <definedName name="solver_rhs472" localSheetId="0" hidden="1">'User Preferences'!$L$11</definedName>
    <definedName name="solver_rhs473" localSheetId="0" hidden="1">'User Preferences'!$I$12</definedName>
    <definedName name="solver_rhs474" localSheetId="0" hidden="1">integer</definedName>
    <definedName name="solver_rhs475" localSheetId="0" hidden="1">integer</definedName>
    <definedName name="solver_rhs476" localSheetId="0" hidden="1">integer</definedName>
    <definedName name="solver_rhs477" localSheetId="0" hidden="1">integer</definedName>
    <definedName name="solver_rhs478" localSheetId="0" hidden="1">integer</definedName>
    <definedName name="solver_rhs479" localSheetId="0" hidden="1">integer</definedName>
    <definedName name="solver_rhs48" localSheetId="0" hidden="1">'User Preferences'!$L$7</definedName>
    <definedName name="solver_rhs480" localSheetId="0" hidden="1">integer</definedName>
    <definedName name="solver_rhs481" localSheetId="0" hidden="1">integer</definedName>
    <definedName name="solver_rhs482" localSheetId="0" hidden="1">integer</definedName>
    <definedName name="solver_rhs483" localSheetId="0" hidden="1">integer</definedName>
    <definedName name="solver_rhs484" localSheetId="0" hidden="1">'User Preferences'!$L$2</definedName>
    <definedName name="solver_rhs485" localSheetId="0" hidden="1">'User Preferences'!$L$3</definedName>
    <definedName name="solver_rhs486" localSheetId="0" hidden="1">'User Preferences'!$L$4</definedName>
    <definedName name="solver_rhs487" localSheetId="0" hidden="1">'User Preferences'!$L$5</definedName>
    <definedName name="solver_rhs488" localSheetId="0" hidden="1">'User Preferences'!$L$6</definedName>
    <definedName name="solver_rhs489" localSheetId="0" hidden="1">'User Preferences'!$L$7</definedName>
    <definedName name="solver_rhs49" localSheetId="0" hidden="1">'User Preferences'!$L$8</definedName>
    <definedName name="solver_rhs490" localSheetId="0" hidden="1">'User Preferences'!$L$8</definedName>
    <definedName name="solver_rhs491" localSheetId="0" hidden="1">'User Preferences'!$L$9</definedName>
    <definedName name="solver_rhs492" localSheetId="0" hidden="1">'User Preferences'!$L$10</definedName>
    <definedName name="solver_rhs493" localSheetId="0" hidden="1">'User Preferences'!$L$11</definedName>
    <definedName name="solver_rhs494" localSheetId="0" hidden="1">'User Preferences'!$I$12</definedName>
    <definedName name="solver_rhs495" localSheetId="0" hidden="1">integer</definedName>
    <definedName name="solver_rhs496" localSheetId="0" hidden="1">integer</definedName>
    <definedName name="solver_rhs497" localSheetId="0" hidden="1">integer</definedName>
    <definedName name="solver_rhs498" localSheetId="0" hidden="1">integer</definedName>
    <definedName name="solver_rhs499" localSheetId="0" hidden="1">integer</definedName>
    <definedName name="solver_rhs5" localSheetId="0" hidden="1">'User Preferences'!$I$6</definedName>
    <definedName name="solver_rhs50" localSheetId="0" hidden="1">'User Preferences'!$L$9</definedName>
    <definedName name="solver_rhs500" localSheetId="0" hidden="1">integer</definedName>
    <definedName name="solver_rhs501" localSheetId="0" hidden="1">integer</definedName>
    <definedName name="solver_rhs502" localSheetId="0" hidden="1">integer</definedName>
    <definedName name="solver_rhs503" localSheetId="0" hidden="1">integer</definedName>
    <definedName name="solver_rhs504" localSheetId="0" hidden="1">integer</definedName>
    <definedName name="solver_rhs505" localSheetId="0" hidden="1">'User Preferences'!$L$2</definedName>
    <definedName name="solver_rhs506" localSheetId="0" hidden="1">'User Preferences'!$L$3</definedName>
    <definedName name="solver_rhs507" localSheetId="0" hidden="1">'User Preferences'!$L$4</definedName>
    <definedName name="solver_rhs508" localSheetId="0" hidden="1">'User Preferences'!$L$5</definedName>
    <definedName name="solver_rhs509" localSheetId="0" hidden="1">'User Preferences'!$L$6</definedName>
    <definedName name="solver_rhs51" localSheetId="0" hidden="1">'User Preferences'!$L$10</definedName>
    <definedName name="solver_rhs510" localSheetId="0" hidden="1">'User Preferences'!$L$7</definedName>
    <definedName name="solver_rhs511" localSheetId="0" hidden="1">'User Preferences'!$L$8</definedName>
    <definedName name="solver_rhs512" localSheetId="0" hidden="1">'User Preferences'!$L$9</definedName>
    <definedName name="solver_rhs513" localSheetId="0" hidden="1">'User Preferences'!$L$10</definedName>
    <definedName name="solver_rhs514" localSheetId="0" hidden="1">'User Preferences'!$L$11</definedName>
    <definedName name="solver_rhs515" localSheetId="0" hidden="1">'User Preferences'!$I$12</definedName>
    <definedName name="solver_rhs516" localSheetId="0" hidden="1">integer</definedName>
    <definedName name="solver_rhs517" localSheetId="0" hidden="1">integer</definedName>
    <definedName name="solver_rhs518" localSheetId="0" hidden="1">integer</definedName>
    <definedName name="solver_rhs519" localSheetId="0" hidden="1">integer</definedName>
    <definedName name="solver_rhs52" localSheetId="0" hidden="1">'User Preferences'!$L$11</definedName>
    <definedName name="solver_rhs520" localSheetId="0" hidden="1">integer</definedName>
    <definedName name="solver_rhs521" localSheetId="0" hidden="1">integer</definedName>
    <definedName name="solver_rhs522" localSheetId="0" hidden="1">integer</definedName>
    <definedName name="solver_rhs523" localSheetId="0" hidden="1">integer</definedName>
    <definedName name="solver_rhs524" localSheetId="0" hidden="1">integer</definedName>
    <definedName name="solver_rhs525" localSheetId="0" hidden="1">integer</definedName>
    <definedName name="solver_rhs526" localSheetId="0" hidden="1">'User Preferences'!$L$2</definedName>
    <definedName name="solver_rhs527" localSheetId="0" hidden="1">'User Preferences'!$L$3</definedName>
    <definedName name="solver_rhs528" localSheetId="0" hidden="1">'User Preferences'!$L$4</definedName>
    <definedName name="solver_rhs529" localSheetId="0" hidden="1">'User Preferences'!$L$5</definedName>
    <definedName name="solver_rhs53" localSheetId="0" hidden="1">'User Preferences'!$I$12</definedName>
    <definedName name="solver_rhs530" localSheetId="0" hidden="1">'User Preferences'!$L$6</definedName>
    <definedName name="solver_rhs531" localSheetId="0" hidden="1">'User Preferences'!$L$7</definedName>
    <definedName name="solver_rhs532" localSheetId="0" hidden="1">'User Preferences'!$L$8</definedName>
    <definedName name="solver_rhs533" localSheetId="0" hidden="1">'User Preferences'!$L$9</definedName>
    <definedName name="solver_rhs534" localSheetId="0" hidden="1">'User Preferences'!$L$10</definedName>
    <definedName name="solver_rhs535" localSheetId="0" hidden="1">'User Preferences'!$L$11</definedName>
    <definedName name="solver_rhs536" localSheetId="0" hidden="1">'User Preferences'!$I$12</definedName>
    <definedName name="solver_rhs537" localSheetId="0" hidden="1">integer</definedName>
    <definedName name="solver_rhs538" localSheetId="0" hidden="1">integer</definedName>
    <definedName name="solver_rhs539" localSheetId="0" hidden="1">integer</definedName>
    <definedName name="solver_rhs54" localSheetId="0" hidden="1">integer</definedName>
    <definedName name="solver_rhs540" localSheetId="0" hidden="1">integer</definedName>
    <definedName name="solver_rhs541" localSheetId="0" hidden="1">integer</definedName>
    <definedName name="solver_rhs542" localSheetId="0" hidden="1">integer</definedName>
    <definedName name="solver_rhs543" localSheetId="0" hidden="1">integer</definedName>
    <definedName name="solver_rhs544" localSheetId="0" hidden="1">integer</definedName>
    <definedName name="solver_rhs545" localSheetId="0" hidden="1">integer</definedName>
    <definedName name="solver_rhs546" localSheetId="0" hidden="1">integer</definedName>
    <definedName name="solver_rhs547" localSheetId="0" hidden="1">'User Preferences'!$L$2</definedName>
    <definedName name="solver_rhs548" localSheetId="0" hidden="1">'User Preferences'!$L$3</definedName>
    <definedName name="solver_rhs549" localSheetId="0" hidden="1">'User Preferences'!$L$4</definedName>
    <definedName name="solver_rhs55" localSheetId="0" hidden="1">integer</definedName>
    <definedName name="solver_rhs550" localSheetId="0" hidden="1">'User Preferences'!$L$5</definedName>
    <definedName name="solver_rhs551" localSheetId="0" hidden="1">'User Preferences'!$L$6</definedName>
    <definedName name="solver_rhs552" localSheetId="0" hidden="1">'User Preferences'!$L$7</definedName>
    <definedName name="solver_rhs553" localSheetId="0" hidden="1">'User Preferences'!$L$8</definedName>
    <definedName name="solver_rhs554" localSheetId="0" hidden="1">'User Preferences'!$L$9</definedName>
    <definedName name="solver_rhs555" localSheetId="0" hidden="1">'User Preferences'!$L$10</definedName>
    <definedName name="solver_rhs556" localSheetId="0" hidden="1">'User Preferences'!$L$11</definedName>
    <definedName name="solver_rhs557" localSheetId="0" hidden="1">'User Preferences'!$M$2</definedName>
    <definedName name="solver_rhs558" localSheetId="0" hidden="1">'User Preferences'!$M$3</definedName>
    <definedName name="solver_rhs559" localSheetId="0" hidden="1">'User Preferences'!$M$4</definedName>
    <definedName name="solver_rhs56" localSheetId="0" hidden="1">integer</definedName>
    <definedName name="solver_rhs560" localSheetId="0" hidden="1">'User Preferences'!$M$5</definedName>
    <definedName name="solver_rhs561" localSheetId="0" hidden="1">'User Preferences'!$M$6</definedName>
    <definedName name="solver_rhs562" localSheetId="0" hidden="1">'User Preferences'!$M$7</definedName>
    <definedName name="solver_rhs563" localSheetId="0" hidden="1">'User Preferences'!$M$8</definedName>
    <definedName name="solver_rhs564" localSheetId="0" hidden="1">'User Preferences'!$M$9</definedName>
    <definedName name="solver_rhs565" localSheetId="0" hidden="1">'User Preferences'!$M$10</definedName>
    <definedName name="solver_rhs566" localSheetId="0" hidden="1">'User Preferences'!$M$11</definedName>
    <definedName name="solver_rhs567" localSheetId="0" hidden="1">'User Preferences'!$E$12</definedName>
    <definedName name="solver_rhs568" localSheetId="0" hidden="1">integer</definedName>
    <definedName name="solver_rhs569" localSheetId="0" hidden="1">integer</definedName>
    <definedName name="solver_rhs57" localSheetId="0" hidden="1">integer</definedName>
    <definedName name="solver_rhs570" localSheetId="0" hidden="1">integer</definedName>
    <definedName name="solver_rhs571" localSheetId="0" hidden="1">integer</definedName>
    <definedName name="solver_rhs572" localSheetId="0" hidden="1">integer</definedName>
    <definedName name="solver_rhs573" localSheetId="0" hidden="1">integer</definedName>
    <definedName name="solver_rhs574" localSheetId="0" hidden="1">integer</definedName>
    <definedName name="solver_rhs575" localSheetId="0" hidden="1">integer</definedName>
    <definedName name="solver_rhs576" localSheetId="0" hidden="1">integer</definedName>
    <definedName name="solver_rhs577" localSheetId="0" hidden="1">integer</definedName>
    <definedName name="solver_rhs578" localSheetId="0" hidden="1">'User Preferences'!$L$2</definedName>
    <definedName name="solver_rhs579" localSheetId="0" hidden="1">'User Preferences'!$L$3</definedName>
    <definedName name="solver_rhs58" localSheetId="0" hidden="1">integer</definedName>
    <definedName name="solver_rhs580" localSheetId="0" hidden="1">'User Preferences'!$L$4</definedName>
    <definedName name="solver_rhs581" localSheetId="0" hidden="1">'User Preferences'!$L$5</definedName>
    <definedName name="solver_rhs582" localSheetId="0" hidden="1">'User Preferences'!$L$6</definedName>
    <definedName name="solver_rhs583" localSheetId="0" hidden="1">'User Preferences'!$L$7</definedName>
    <definedName name="solver_rhs584" localSheetId="0" hidden="1">'User Preferences'!$L$8</definedName>
    <definedName name="solver_rhs585" localSheetId="0" hidden="1">'User Preferences'!$L$9</definedName>
    <definedName name="solver_rhs586" localSheetId="0" hidden="1">'User Preferences'!$L$10</definedName>
    <definedName name="solver_rhs587" localSheetId="0" hidden="1">'User Preferences'!$L$11</definedName>
    <definedName name="solver_rhs588" localSheetId="0" hidden="1">'User Preferences'!$M$2</definedName>
    <definedName name="solver_rhs589" localSheetId="0" hidden="1">'User Preferences'!$M$3</definedName>
    <definedName name="solver_rhs59" localSheetId="0" hidden="1">integer</definedName>
    <definedName name="solver_rhs590" localSheetId="0" hidden="1">'User Preferences'!$M$4</definedName>
    <definedName name="solver_rhs591" localSheetId="0" hidden="1">'User Preferences'!$M$5</definedName>
    <definedName name="solver_rhs592" localSheetId="0" hidden="1">'User Preferences'!$M$6</definedName>
    <definedName name="solver_rhs593" localSheetId="0" hidden="1">'User Preferences'!$M$7</definedName>
    <definedName name="solver_rhs594" localSheetId="0" hidden="1">'User Preferences'!$M$8</definedName>
    <definedName name="solver_rhs595" localSheetId="0" hidden="1">'User Preferences'!$M$9</definedName>
    <definedName name="solver_rhs596" localSheetId="0" hidden="1">'User Preferences'!$M$10</definedName>
    <definedName name="solver_rhs597" localSheetId="0" hidden="1">'User Preferences'!$M$11</definedName>
    <definedName name="solver_rhs598" localSheetId="0" hidden="1">'User Preferences'!$B$12</definedName>
    <definedName name="solver_rhs599" localSheetId="0" hidden="1">integer</definedName>
    <definedName name="solver_rhs6" localSheetId="0" hidden="1">'User Preferences'!$I$7</definedName>
    <definedName name="solver_rhs60" localSheetId="0" hidden="1">integer</definedName>
    <definedName name="solver_rhs600" localSheetId="0" hidden="1">integer</definedName>
    <definedName name="solver_rhs601" localSheetId="0" hidden="1">integer</definedName>
    <definedName name="solver_rhs602" localSheetId="0" hidden="1">integer</definedName>
    <definedName name="solver_rhs603" localSheetId="0" hidden="1">integer</definedName>
    <definedName name="solver_rhs604" localSheetId="0" hidden="1">integer</definedName>
    <definedName name="solver_rhs605" localSheetId="0" hidden="1">integer</definedName>
    <definedName name="solver_rhs606" localSheetId="0" hidden="1">integer</definedName>
    <definedName name="solver_rhs607" localSheetId="0" hidden="1">integer</definedName>
    <definedName name="solver_rhs608" localSheetId="0" hidden="1">integer</definedName>
    <definedName name="solver_rhs609" localSheetId="0" hidden="1">'User Preferences'!$L$2</definedName>
    <definedName name="solver_rhs61" localSheetId="0" hidden="1">integer</definedName>
    <definedName name="solver_rhs610" localSheetId="0" hidden="1">'User Preferences'!$L$3</definedName>
    <definedName name="solver_rhs611" localSheetId="0" hidden="1">'User Preferences'!$L$4</definedName>
    <definedName name="solver_rhs612" localSheetId="0" hidden="1">'User Preferences'!$L$5</definedName>
    <definedName name="solver_rhs613" localSheetId="0" hidden="1">'User Preferences'!$L$6</definedName>
    <definedName name="solver_rhs614" localSheetId="0" hidden="1">'User Preferences'!$L$7</definedName>
    <definedName name="solver_rhs615" localSheetId="0" hidden="1">'User Preferences'!$L$8</definedName>
    <definedName name="solver_rhs616" localSheetId="0" hidden="1">'User Preferences'!$L$9</definedName>
    <definedName name="solver_rhs617" localSheetId="0" hidden="1">'User Preferences'!$L$10</definedName>
    <definedName name="solver_rhs618" localSheetId="0" hidden="1">'User Preferences'!$L$11</definedName>
    <definedName name="solver_rhs619" localSheetId="0" hidden="1">'User Preferences'!$M$2</definedName>
    <definedName name="solver_rhs62" localSheetId="0" hidden="1">integer</definedName>
    <definedName name="solver_rhs620" localSheetId="0" hidden="1">'User Preferences'!$M$3</definedName>
    <definedName name="solver_rhs621" localSheetId="0" hidden="1">'User Preferences'!$M$4</definedName>
    <definedName name="solver_rhs622" localSheetId="0" hidden="1">'User Preferences'!$M$5</definedName>
    <definedName name="solver_rhs623" localSheetId="0" hidden="1">'User Preferences'!$M$6</definedName>
    <definedName name="solver_rhs624" localSheetId="0" hidden="1">'User Preferences'!$M$7</definedName>
    <definedName name="solver_rhs625" localSheetId="0" hidden="1">'User Preferences'!$M$8</definedName>
    <definedName name="solver_rhs626" localSheetId="0" hidden="1">'User Preferences'!$M$9</definedName>
    <definedName name="solver_rhs627" localSheetId="0" hidden="1">'User Preferences'!$M$10</definedName>
    <definedName name="solver_rhs628" localSheetId="0" hidden="1">'User Preferences'!$M$11</definedName>
    <definedName name="solver_rhs629" localSheetId="0" hidden="1">'User Preferences'!$B$12</definedName>
    <definedName name="solver_rhs63" localSheetId="0" hidden="1">integer</definedName>
    <definedName name="solver_rhs630" localSheetId="0" hidden="1">integer</definedName>
    <definedName name="solver_rhs631" localSheetId="0" hidden="1">integer</definedName>
    <definedName name="solver_rhs632" localSheetId="0" hidden="1">integer</definedName>
    <definedName name="solver_rhs633" localSheetId="0" hidden="1">integer</definedName>
    <definedName name="solver_rhs634" localSheetId="0" hidden="1">integer</definedName>
    <definedName name="solver_rhs635" localSheetId="0" hidden="1">integer</definedName>
    <definedName name="solver_rhs636" localSheetId="0" hidden="1">integer</definedName>
    <definedName name="solver_rhs637" localSheetId="0" hidden="1">integer</definedName>
    <definedName name="solver_rhs638" localSheetId="0" hidden="1">integer</definedName>
    <definedName name="solver_rhs639" localSheetId="0" hidden="1">integer</definedName>
    <definedName name="solver_rhs64" localSheetId="0" hidden="1">'User Preferences'!$L$2</definedName>
    <definedName name="solver_rhs640" localSheetId="0" hidden="1">'User Preferences'!$L$2</definedName>
    <definedName name="solver_rhs641" localSheetId="0" hidden="1">'User Preferences'!$L$3</definedName>
    <definedName name="solver_rhs642" localSheetId="0" hidden="1">'User Preferences'!$L$4</definedName>
    <definedName name="solver_rhs643" localSheetId="0" hidden="1">'User Preferences'!$L$5</definedName>
    <definedName name="solver_rhs644" localSheetId="0" hidden="1">'User Preferences'!$L$6</definedName>
    <definedName name="solver_rhs645" localSheetId="0" hidden="1">'User Preferences'!$L$7</definedName>
    <definedName name="solver_rhs646" localSheetId="0" hidden="1">'User Preferences'!$L$8</definedName>
    <definedName name="solver_rhs647" localSheetId="0" hidden="1">'User Preferences'!$L$9</definedName>
    <definedName name="solver_rhs648" localSheetId="0" hidden="1">'User Preferences'!$L$10</definedName>
    <definedName name="solver_rhs649" localSheetId="0" hidden="1">'User Preferences'!$L$11</definedName>
    <definedName name="solver_rhs65" localSheetId="0" hidden="1">'User Preferences'!$L$3</definedName>
    <definedName name="solver_rhs650" localSheetId="0" hidden="1">'User Preferences'!$M$2</definedName>
    <definedName name="solver_rhs651" localSheetId="0" hidden="1">'User Preferences'!$M$3</definedName>
    <definedName name="solver_rhs652" localSheetId="0" hidden="1">'User Preferences'!$M$4</definedName>
    <definedName name="solver_rhs653" localSheetId="0" hidden="1">'User Preferences'!$M$5</definedName>
    <definedName name="solver_rhs654" localSheetId="0" hidden="1">'User Preferences'!$M$6</definedName>
    <definedName name="solver_rhs655" localSheetId="0" hidden="1">'User Preferences'!$M$7</definedName>
    <definedName name="solver_rhs656" localSheetId="0" hidden="1">'User Preferences'!$M$8</definedName>
    <definedName name="solver_rhs657" localSheetId="0" hidden="1">'User Preferences'!$M$9</definedName>
    <definedName name="solver_rhs658" localSheetId="0" hidden="1">'User Preferences'!$M$10</definedName>
    <definedName name="solver_rhs659" localSheetId="0" hidden="1">'User Preferences'!$M$11</definedName>
    <definedName name="solver_rhs66" localSheetId="0" hidden="1">'User Preferences'!$L$4</definedName>
    <definedName name="solver_rhs660" localSheetId="0" hidden="1">'User Preferences'!$B$12</definedName>
    <definedName name="solver_rhs661" localSheetId="0" hidden="1">integer</definedName>
    <definedName name="solver_rhs662" localSheetId="0" hidden="1">integer</definedName>
    <definedName name="solver_rhs663" localSheetId="0" hidden="1">integer</definedName>
    <definedName name="solver_rhs664" localSheetId="0" hidden="1">integer</definedName>
    <definedName name="solver_rhs665" localSheetId="0" hidden="1">integer</definedName>
    <definedName name="solver_rhs666" localSheetId="0" hidden="1">integer</definedName>
    <definedName name="solver_rhs667" localSheetId="0" hidden="1">integer</definedName>
    <definedName name="solver_rhs668" localSheetId="0" hidden="1">integer</definedName>
    <definedName name="solver_rhs669" localSheetId="0" hidden="1">integer</definedName>
    <definedName name="solver_rhs67" localSheetId="0" hidden="1">'User Preferences'!$L$5</definedName>
    <definedName name="solver_rhs670" localSheetId="0" hidden="1">integer</definedName>
    <definedName name="solver_rhs671" localSheetId="0" hidden="1">'User Preferences'!$L$2</definedName>
    <definedName name="solver_rhs672" localSheetId="0" hidden="1">'User Preferences'!$L$3</definedName>
    <definedName name="solver_rhs673" localSheetId="0" hidden="1">'User Preferences'!$L$4</definedName>
    <definedName name="solver_rhs674" localSheetId="0" hidden="1">'User Preferences'!$L$5</definedName>
    <definedName name="solver_rhs675" localSheetId="0" hidden="1">'User Preferences'!$L$6</definedName>
    <definedName name="solver_rhs676" localSheetId="0" hidden="1">'User Preferences'!$L$7</definedName>
    <definedName name="solver_rhs677" localSheetId="0" hidden="1">'User Preferences'!$L$8</definedName>
    <definedName name="solver_rhs678" localSheetId="0" hidden="1">'User Preferences'!$L$9</definedName>
    <definedName name="solver_rhs679" localSheetId="0" hidden="1">'User Preferences'!$L$10</definedName>
    <definedName name="solver_rhs68" localSheetId="0" hidden="1">'User Preferences'!$L$6</definedName>
    <definedName name="solver_rhs680" localSheetId="0" hidden="1">'User Preferences'!$L$11</definedName>
    <definedName name="solver_rhs681" localSheetId="0" hidden="1">'User Preferences'!$M$2</definedName>
    <definedName name="solver_rhs682" localSheetId="0" hidden="1">'User Preferences'!$M$3</definedName>
    <definedName name="solver_rhs683" localSheetId="0" hidden="1">'User Preferences'!$M$4</definedName>
    <definedName name="solver_rhs684" localSheetId="0" hidden="1">'User Preferences'!$M$5</definedName>
    <definedName name="solver_rhs685" localSheetId="0" hidden="1">'User Preferences'!$M$6</definedName>
    <definedName name="solver_rhs686" localSheetId="0" hidden="1">'User Preferences'!$M$7</definedName>
    <definedName name="solver_rhs687" localSheetId="0" hidden="1">'User Preferences'!$M$8</definedName>
    <definedName name="solver_rhs688" localSheetId="0" hidden="1">'User Preferences'!$M$9</definedName>
    <definedName name="solver_rhs689" localSheetId="0" hidden="1">'User Preferences'!$M$10</definedName>
    <definedName name="solver_rhs69" localSheetId="0" hidden="1">'User Preferences'!$L$7</definedName>
    <definedName name="solver_rhs690" localSheetId="0" hidden="1">'User Preferences'!$M$11</definedName>
    <definedName name="solver_rhs691" localSheetId="0" hidden="1">'User Preferences'!$B$12</definedName>
    <definedName name="solver_rhs692" localSheetId="0" hidden="1">integer</definedName>
    <definedName name="solver_rhs693" localSheetId="0" hidden="1">integer</definedName>
    <definedName name="solver_rhs694" localSheetId="0" hidden="1">integer</definedName>
    <definedName name="solver_rhs695" localSheetId="0" hidden="1">integer</definedName>
    <definedName name="solver_rhs696" localSheetId="0" hidden="1">integer</definedName>
    <definedName name="solver_rhs697" localSheetId="0" hidden="1">integer</definedName>
    <definedName name="solver_rhs698" localSheetId="0" hidden="1">integer</definedName>
    <definedName name="solver_rhs699" localSheetId="0" hidden="1">integer</definedName>
    <definedName name="solver_rhs7" localSheetId="0" hidden="1">'User Preferences'!$I$8</definedName>
    <definedName name="solver_rhs70" localSheetId="0" hidden="1">'User Preferences'!$L$8</definedName>
    <definedName name="solver_rhs700" localSheetId="0" hidden="1">integer</definedName>
    <definedName name="solver_rhs701" localSheetId="0" hidden="1">integer</definedName>
    <definedName name="solver_rhs702" localSheetId="0" hidden="1">'User Preferences'!$I$2</definedName>
    <definedName name="solver_rhs703" localSheetId="0" hidden="1">'User Preferences'!$I$3</definedName>
    <definedName name="solver_rhs704" localSheetId="0" hidden="1">'User Preferences'!$I$4</definedName>
    <definedName name="solver_rhs705" localSheetId="0" hidden="1">'User Preferences'!$I$5</definedName>
    <definedName name="solver_rhs706" localSheetId="0" hidden="1">'User Preferences'!$I$6</definedName>
    <definedName name="solver_rhs707" localSheetId="0" hidden="1">'User Preferences'!$I$7</definedName>
    <definedName name="solver_rhs708" localSheetId="0" hidden="1">'User Preferences'!$I$8</definedName>
    <definedName name="solver_rhs709" localSheetId="0" hidden="1">'User Preferences'!$I$9</definedName>
    <definedName name="solver_rhs71" localSheetId="0" hidden="1">'User Preferences'!$L$9</definedName>
    <definedName name="solver_rhs710" localSheetId="0" hidden="1">'User Preferences'!$I$10</definedName>
    <definedName name="solver_rhs711" localSheetId="0" hidden="1">'User Preferences'!$I$11</definedName>
    <definedName name="solver_rhs712" localSheetId="0" hidden="1">'User Preferences'!$M$2</definedName>
    <definedName name="solver_rhs713" localSheetId="0" hidden="1">'User Preferences'!$M$3</definedName>
    <definedName name="solver_rhs714" localSheetId="0" hidden="1">'User Preferences'!$M$4</definedName>
    <definedName name="solver_rhs715" localSheetId="0" hidden="1">'User Preferences'!$M$5</definedName>
    <definedName name="solver_rhs716" localSheetId="0" hidden="1">'User Preferences'!$M$6</definedName>
    <definedName name="solver_rhs717" localSheetId="0" hidden="1">'User Preferences'!$M$7</definedName>
    <definedName name="solver_rhs718" localSheetId="0" hidden="1">'User Preferences'!$M$8</definedName>
    <definedName name="solver_rhs719" localSheetId="0" hidden="1">'User Preferences'!$M$9</definedName>
    <definedName name="solver_rhs72" localSheetId="0" hidden="1">'User Preferences'!$L$10</definedName>
    <definedName name="solver_rhs720" localSheetId="0" hidden="1">'User Preferences'!$M$10</definedName>
    <definedName name="solver_rhs721" localSheetId="0" hidden="1">'User Preferences'!$M$11</definedName>
    <definedName name="solver_rhs722" localSheetId="0" hidden="1">'User Preferences'!$B$12</definedName>
    <definedName name="solver_rhs723" localSheetId="0" hidden="1">integer</definedName>
    <definedName name="solver_rhs724" localSheetId="0" hidden="1">integer</definedName>
    <definedName name="solver_rhs725" localSheetId="0" hidden="1">integer</definedName>
    <definedName name="solver_rhs726" localSheetId="0" hidden="1">integer</definedName>
    <definedName name="solver_rhs727" localSheetId="0" hidden="1">integer</definedName>
    <definedName name="solver_rhs728" localSheetId="0" hidden="1">integer</definedName>
    <definedName name="solver_rhs729" localSheetId="0" hidden="1">integer</definedName>
    <definedName name="solver_rhs73" localSheetId="0" hidden="1">'User Preferences'!$L$11</definedName>
    <definedName name="solver_rhs730" localSheetId="0" hidden="1">integer</definedName>
    <definedName name="solver_rhs731" localSheetId="0" hidden="1">integer</definedName>
    <definedName name="solver_rhs732" localSheetId="0" hidden="1">integer</definedName>
    <definedName name="solver_rhs733" localSheetId="0" hidden="1">'User Preferences'!$I$2</definedName>
    <definedName name="solver_rhs734" localSheetId="0" hidden="1">'User Preferences'!$I$3</definedName>
    <definedName name="solver_rhs735" localSheetId="0" hidden="1">'User Preferences'!$I$4</definedName>
    <definedName name="solver_rhs736" localSheetId="0" hidden="1">'User Preferences'!$I$5</definedName>
    <definedName name="solver_rhs737" localSheetId="0" hidden="1">'User Preferences'!$I$6</definedName>
    <definedName name="solver_rhs738" localSheetId="0" hidden="1">'User Preferences'!$I$7</definedName>
    <definedName name="solver_rhs739" localSheetId="0" hidden="1">'User Preferences'!$I$8</definedName>
    <definedName name="solver_rhs74" localSheetId="0" hidden="1">'User Preferences'!$I$12</definedName>
    <definedName name="solver_rhs740" localSheetId="0" hidden="1">'User Preferences'!$I$9</definedName>
    <definedName name="solver_rhs741" localSheetId="0" hidden="1">'User Preferences'!$I$10</definedName>
    <definedName name="solver_rhs742" localSheetId="0" hidden="1">'User Preferences'!$I$11</definedName>
    <definedName name="solver_rhs743" localSheetId="0" hidden="1">'User Preferences'!$M$2</definedName>
    <definedName name="solver_rhs744" localSheetId="0" hidden="1">'User Preferences'!$M$3</definedName>
    <definedName name="solver_rhs745" localSheetId="0" hidden="1">'User Preferences'!$M$4</definedName>
    <definedName name="solver_rhs746" localSheetId="0" hidden="1">'User Preferences'!$M$5</definedName>
    <definedName name="solver_rhs747" localSheetId="0" hidden="1">'User Preferences'!$M$6</definedName>
    <definedName name="solver_rhs748" localSheetId="0" hidden="1">'User Preferences'!$M$7</definedName>
    <definedName name="solver_rhs749" localSheetId="0" hidden="1">'User Preferences'!$M$8</definedName>
    <definedName name="solver_rhs75" localSheetId="0" hidden="1">integer</definedName>
    <definedName name="solver_rhs750" localSheetId="0" hidden="1">'User Preferences'!$M$9</definedName>
    <definedName name="solver_rhs751" localSheetId="0" hidden="1">'User Preferences'!$M$10</definedName>
    <definedName name="solver_rhs752" localSheetId="0" hidden="1">'User Preferences'!$M$11</definedName>
    <definedName name="solver_rhs753" localSheetId="0" hidden="1">'User Preferences'!$B$12</definedName>
    <definedName name="solver_rhs754" localSheetId="0" hidden="1">integer</definedName>
    <definedName name="solver_rhs755" localSheetId="0" hidden="1">integer</definedName>
    <definedName name="solver_rhs756" localSheetId="0" hidden="1">integer</definedName>
    <definedName name="solver_rhs757" localSheetId="0" hidden="1">integer</definedName>
    <definedName name="solver_rhs758" localSheetId="0" hidden="1">integer</definedName>
    <definedName name="solver_rhs759" localSheetId="0" hidden="1">integer</definedName>
    <definedName name="solver_rhs76" localSheetId="0" hidden="1">integer</definedName>
    <definedName name="solver_rhs760" localSheetId="0" hidden="1">integer</definedName>
    <definedName name="solver_rhs761" localSheetId="0" hidden="1">integer</definedName>
    <definedName name="solver_rhs762" localSheetId="0" hidden="1">integer</definedName>
    <definedName name="solver_rhs763" localSheetId="0" hidden="1">integer</definedName>
    <definedName name="solver_rhs764" localSheetId="0" hidden="1">'User Preferences'!$I$2</definedName>
    <definedName name="solver_rhs765" localSheetId="0" hidden="1">'User Preferences'!$I$3</definedName>
    <definedName name="solver_rhs766" localSheetId="0" hidden="1">'User Preferences'!$I$4</definedName>
    <definedName name="solver_rhs767" localSheetId="0" hidden="1">'User Preferences'!$I$5</definedName>
    <definedName name="solver_rhs768" localSheetId="0" hidden="1">'User Preferences'!$I$6</definedName>
    <definedName name="solver_rhs769" localSheetId="0" hidden="1">'User Preferences'!$I$7</definedName>
    <definedName name="solver_rhs77" localSheetId="0" hidden="1">integer</definedName>
    <definedName name="solver_rhs770" localSheetId="0" hidden="1">'User Preferences'!$I$8</definedName>
    <definedName name="solver_rhs771" localSheetId="0" hidden="1">'User Preferences'!$I$9</definedName>
    <definedName name="solver_rhs772" localSheetId="0" hidden="1">'User Preferences'!$I$10</definedName>
    <definedName name="solver_rhs773" localSheetId="0" hidden="1">'User Preferences'!$I$11</definedName>
    <definedName name="solver_rhs774" localSheetId="0" hidden="1">'User Preferences'!$M$2</definedName>
    <definedName name="solver_rhs775" localSheetId="0" hidden="1">'User Preferences'!$M$3</definedName>
    <definedName name="solver_rhs776" localSheetId="0" hidden="1">'User Preferences'!$M$4</definedName>
    <definedName name="solver_rhs777" localSheetId="0" hidden="1">'User Preferences'!$M$5</definedName>
    <definedName name="solver_rhs778" localSheetId="0" hidden="1">'User Preferences'!$M$6</definedName>
    <definedName name="solver_rhs779" localSheetId="0" hidden="1">'User Preferences'!$M$7</definedName>
    <definedName name="solver_rhs78" localSheetId="0" hidden="1">integer</definedName>
    <definedName name="solver_rhs780" localSheetId="0" hidden="1">'User Preferences'!$M$8</definedName>
    <definedName name="solver_rhs781" localSheetId="0" hidden="1">'User Preferences'!$M$9</definedName>
    <definedName name="solver_rhs782" localSheetId="0" hidden="1">'User Preferences'!$M$10</definedName>
    <definedName name="solver_rhs783" localSheetId="0" hidden="1">'User Preferences'!$M$11</definedName>
    <definedName name="solver_rhs784" localSheetId="0" hidden="1">'User Preferences'!$B$12</definedName>
    <definedName name="solver_rhs785" localSheetId="0" hidden="1">integer</definedName>
    <definedName name="solver_rhs786" localSheetId="0" hidden="1">integer</definedName>
    <definedName name="solver_rhs787" localSheetId="0" hidden="1">integer</definedName>
    <definedName name="solver_rhs788" localSheetId="0" hidden="1">integer</definedName>
    <definedName name="solver_rhs789" localSheetId="0" hidden="1">integer</definedName>
    <definedName name="solver_rhs79" localSheetId="0" hidden="1">integer</definedName>
    <definedName name="solver_rhs790" localSheetId="0" hidden="1">integer</definedName>
    <definedName name="solver_rhs791" localSheetId="0" hidden="1">integer</definedName>
    <definedName name="solver_rhs792" localSheetId="0" hidden="1">integer</definedName>
    <definedName name="solver_rhs793" localSheetId="0" hidden="1">integer</definedName>
    <definedName name="solver_rhs794" localSheetId="0" hidden="1">integer</definedName>
    <definedName name="solver_rhs795" localSheetId="0" hidden="1">'User Preferences'!$I$2</definedName>
    <definedName name="solver_rhs796" localSheetId="0" hidden="1">'User Preferences'!$I$3</definedName>
    <definedName name="solver_rhs797" localSheetId="0" hidden="1">'User Preferences'!$I$4</definedName>
    <definedName name="solver_rhs798" localSheetId="0" hidden="1">'User Preferences'!$I$5</definedName>
    <definedName name="solver_rhs799" localSheetId="0" hidden="1">'User Preferences'!$I$6</definedName>
    <definedName name="solver_rhs8" localSheetId="0" hidden="1">'User Preferences'!$I$9</definedName>
    <definedName name="solver_rhs80" localSheetId="0" hidden="1">integer</definedName>
    <definedName name="solver_rhs800" localSheetId="0" hidden="1">'User Preferences'!$I$7</definedName>
    <definedName name="solver_rhs801" localSheetId="0" hidden="1">'User Preferences'!$I$8</definedName>
    <definedName name="solver_rhs802" localSheetId="0" hidden="1">'User Preferences'!$I$9</definedName>
    <definedName name="solver_rhs803" localSheetId="0" hidden="1">'User Preferences'!$I$10</definedName>
    <definedName name="solver_rhs804" localSheetId="0" hidden="1">'User Preferences'!$I$11</definedName>
    <definedName name="solver_rhs805" localSheetId="0" hidden="1">'User Preferences'!$M$2</definedName>
    <definedName name="solver_rhs806" localSheetId="0" hidden="1">'User Preferences'!$M$3</definedName>
    <definedName name="solver_rhs807" localSheetId="0" hidden="1">'User Preferences'!$M$4</definedName>
    <definedName name="solver_rhs808" localSheetId="0" hidden="1">'User Preferences'!$M$5</definedName>
    <definedName name="solver_rhs809" localSheetId="0" hidden="1">'User Preferences'!$M$6</definedName>
    <definedName name="solver_rhs81" localSheetId="0" hidden="1">integer</definedName>
    <definedName name="solver_rhs810" localSheetId="0" hidden="1">'User Preferences'!$M$7</definedName>
    <definedName name="solver_rhs811" localSheetId="0" hidden="1">'User Preferences'!$M$8</definedName>
    <definedName name="solver_rhs812" localSheetId="0" hidden="1">'User Preferences'!$M$9</definedName>
    <definedName name="solver_rhs813" localSheetId="0" hidden="1">'User Preferences'!$M$10</definedName>
    <definedName name="solver_rhs814" localSheetId="0" hidden="1">'User Preferences'!$M$11</definedName>
    <definedName name="solver_rhs815" localSheetId="0" hidden="1">'User Preferences'!$B$12</definedName>
    <definedName name="solver_rhs816" localSheetId="0" hidden="1">integer</definedName>
    <definedName name="solver_rhs817" localSheetId="0" hidden="1">integer</definedName>
    <definedName name="solver_rhs818" localSheetId="0" hidden="1">integer</definedName>
    <definedName name="solver_rhs819" localSheetId="0" hidden="1">integer</definedName>
    <definedName name="solver_rhs82" localSheetId="0" hidden="1">integer</definedName>
    <definedName name="solver_rhs820" localSheetId="0" hidden="1">integer</definedName>
    <definedName name="solver_rhs821" localSheetId="0" hidden="1">integer</definedName>
    <definedName name="solver_rhs822" localSheetId="0" hidden="1">integer</definedName>
    <definedName name="solver_rhs823" localSheetId="0" hidden="1">integer</definedName>
    <definedName name="solver_rhs824" localSheetId="0" hidden="1">integer</definedName>
    <definedName name="solver_rhs825" localSheetId="0" hidden="1">integer</definedName>
    <definedName name="solver_rhs826" localSheetId="0" hidden="1">'User Preferences'!$I$2</definedName>
    <definedName name="solver_rhs827" localSheetId="0" hidden="1">'User Preferences'!$I$3</definedName>
    <definedName name="solver_rhs828" localSheetId="0" hidden="1">'User Preferences'!$I$4</definedName>
    <definedName name="solver_rhs829" localSheetId="0" hidden="1">'User Preferences'!$I$5</definedName>
    <definedName name="solver_rhs83" localSheetId="0" hidden="1">integer</definedName>
    <definedName name="solver_rhs830" localSheetId="0" hidden="1">'User Preferences'!$I$6</definedName>
    <definedName name="solver_rhs831" localSheetId="0" hidden="1">'User Preferences'!$I$7</definedName>
    <definedName name="solver_rhs832" localSheetId="0" hidden="1">'User Preferences'!$I$8</definedName>
    <definedName name="solver_rhs833" localSheetId="0" hidden="1">'User Preferences'!$I$9</definedName>
    <definedName name="solver_rhs834" localSheetId="0" hidden="1">'User Preferences'!$I$10</definedName>
    <definedName name="solver_rhs835" localSheetId="0" hidden="1">'User Preferences'!$I$11</definedName>
    <definedName name="solver_rhs836" localSheetId="0" hidden="1">'User Preferences'!$M$2</definedName>
    <definedName name="solver_rhs837" localSheetId="0" hidden="1">'User Preferences'!$M$3</definedName>
    <definedName name="solver_rhs838" localSheetId="0" hidden="1">'User Preferences'!$M$4</definedName>
    <definedName name="solver_rhs839" localSheetId="0" hidden="1">'User Preferences'!$M$5</definedName>
    <definedName name="solver_rhs84" localSheetId="0" hidden="1">integer</definedName>
    <definedName name="solver_rhs840" localSheetId="0" hidden="1">'User Preferences'!$M$6</definedName>
    <definedName name="solver_rhs841" localSheetId="0" hidden="1">'User Preferences'!$M$7</definedName>
    <definedName name="solver_rhs842" localSheetId="0" hidden="1">'User Preferences'!$M$8</definedName>
    <definedName name="solver_rhs843" localSheetId="0" hidden="1">'User Preferences'!$M$9</definedName>
    <definedName name="solver_rhs844" localSheetId="0" hidden="1">'User Preferences'!$M$10</definedName>
    <definedName name="solver_rhs845" localSheetId="0" hidden="1">'User Preferences'!$M$11</definedName>
    <definedName name="solver_rhs846" localSheetId="0" hidden="1">'User Preferences'!$B$12</definedName>
    <definedName name="solver_rhs847" localSheetId="0" hidden="1">integer</definedName>
    <definedName name="solver_rhs848" localSheetId="0" hidden="1">integer</definedName>
    <definedName name="solver_rhs849" localSheetId="0" hidden="1">integer</definedName>
    <definedName name="solver_rhs85" localSheetId="0" hidden="1">'User Preferences'!$L$2</definedName>
    <definedName name="solver_rhs850" localSheetId="0" hidden="1">integer</definedName>
    <definedName name="solver_rhs851" localSheetId="0" hidden="1">integer</definedName>
    <definedName name="solver_rhs852" localSheetId="0" hidden="1">integer</definedName>
    <definedName name="solver_rhs853" localSheetId="0" hidden="1">integer</definedName>
    <definedName name="solver_rhs854" localSheetId="0" hidden="1">integer</definedName>
    <definedName name="solver_rhs855" localSheetId="0" hidden="1">integer</definedName>
    <definedName name="solver_rhs856" localSheetId="0" hidden="1">integer</definedName>
    <definedName name="solver_rhs857" localSheetId="0" hidden="1">'User Preferences'!$I$2</definedName>
    <definedName name="solver_rhs858" localSheetId="0" hidden="1">'User Preferences'!$I$3</definedName>
    <definedName name="solver_rhs859" localSheetId="0" hidden="1">'User Preferences'!$I$4</definedName>
    <definedName name="solver_rhs86" localSheetId="0" hidden="1">'User Preferences'!$L$3</definedName>
    <definedName name="solver_rhs860" localSheetId="0" hidden="1">'User Preferences'!$I$5</definedName>
    <definedName name="solver_rhs861" localSheetId="0" hidden="1">'User Preferences'!$I$6</definedName>
    <definedName name="solver_rhs862" localSheetId="0" hidden="1">'User Preferences'!$I$7</definedName>
    <definedName name="solver_rhs863" localSheetId="0" hidden="1">'User Preferences'!$I$8</definedName>
    <definedName name="solver_rhs864" localSheetId="0" hidden="1">'User Preferences'!$I$9</definedName>
    <definedName name="solver_rhs865" localSheetId="0" hidden="1">'User Preferences'!$I$10</definedName>
    <definedName name="solver_rhs866" localSheetId="0" hidden="1">'User Preferences'!$I$11</definedName>
    <definedName name="solver_rhs867" localSheetId="0" hidden="1">'User Preferences'!$M$2</definedName>
    <definedName name="solver_rhs868" localSheetId="0" hidden="1">'User Preferences'!$M$3</definedName>
    <definedName name="solver_rhs869" localSheetId="0" hidden="1">'User Preferences'!$M$4</definedName>
    <definedName name="solver_rhs87" localSheetId="0" hidden="1">'User Preferences'!$L$4</definedName>
    <definedName name="solver_rhs870" localSheetId="0" hidden="1">'User Preferences'!$M$5</definedName>
    <definedName name="solver_rhs871" localSheetId="0" hidden="1">'User Preferences'!$M$6</definedName>
    <definedName name="solver_rhs872" localSheetId="0" hidden="1">'User Preferences'!$M$7</definedName>
    <definedName name="solver_rhs873" localSheetId="0" hidden="1">'User Preferences'!$M$8</definedName>
    <definedName name="solver_rhs874" localSheetId="0" hidden="1">'User Preferences'!$M$9</definedName>
    <definedName name="solver_rhs875" localSheetId="0" hidden="1">'User Preferences'!$M$10</definedName>
    <definedName name="solver_rhs876" localSheetId="0" hidden="1">'User Preferences'!$M$11</definedName>
    <definedName name="solver_rhs877" localSheetId="0" hidden="1">'User Preferences'!$B$12</definedName>
    <definedName name="solver_rhs878" localSheetId="0" hidden="1">integer</definedName>
    <definedName name="solver_rhs879" localSheetId="0" hidden="1">integer</definedName>
    <definedName name="solver_rhs88" localSheetId="0" hidden="1">'User Preferences'!$L$5</definedName>
    <definedName name="solver_rhs880" localSheetId="0" hidden="1">integer</definedName>
    <definedName name="solver_rhs881" localSheetId="0" hidden="1">integer</definedName>
    <definedName name="solver_rhs882" localSheetId="0" hidden="1">integer</definedName>
    <definedName name="solver_rhs883" localSheetId="0" hidden="1">integer</definedName>
    <definedName name="solver_rhs884" localSheetId="0" hidden="1">integer</definedName>
    <definedName name="solver_rhs885" localSheetId="0" hidden="1">integer</definedName>
    <definedName name="solver_rhs886" localSheetId="0" hidden="1">integer</definedName>
    <definedName name="solver_rhs887" localSheetId="0" hidden="1">integer</definedName>
    <definedName name="solver_rhs888" localSheetId="0" hidden="1">'User Preferences'!$I$2</definedName>
    <definedName name="solver_rhs889" localSheetId="0" hidden="1">'User Preferences'!$I$3</definedName>
    <definedName name="solver_rhs89" localSheetId="0" hidden="1">'User Preferences'!$L$6</definedName>
    <definedName name="solver_rhs890" localSheetId="0" hidden="1">'User Preferences'!$I$4</definedName>
    <definedName name="solver_rhs891" localSheetId="0" hidden="1">'User Preferences'!$I$5</definedName>
    <definedName name="solver_rhs892" localSheetId="0" hidden="1">'User Preferences'!$I$6</definedName>
    <definedName name="solver_rhs893" localSheetId="0" hidden="1">'User Preferences'!$I$7</definedName>
    <definedName name="solver_rhs894" localSheetId="0" hidden="1">'User Preferences'!$I$8</definedName>
    <definedName name="solver_rhs895" localSheetId="0" hidden="1">'User Preferences'!$I$9</definedName>
    <definedName name="solver_rhs896" localSheetId="0" hidden="1">'User Preferences'!$I$10</definedName>
    <definedName name="solver_rhs897" localSheetId="0" hidden="1">'User Preferences'!$I$11</definedName>
    <definedName name="solver_rhs898" localSheetId="0" hidden="1">'User Preferences'!$M$2</definedName>
    <definedName name="solver_rhs899" localSheetId="0" hidden="1">'User Preferences'!$M$3</definedName>
    <definedName name="solver_rhs9" localSheetId="0" hidden="1">'User Preferences'!$I$10</definedName>
    <definedName name="solver_rhs90" localSheetId="0" hidden="1">'User Preferences'!$L$7</definedName>
    <definedName name="solver_rhs900" localSheetId="0" hidden="1">'User Preferences'!$M$4</definedName>
    <definedName name="solver_rhs901" localSheetId="0" hidden="1">'User Preferences'!$M$5</definedName>
    <definedName name="solver_rhs902" localSheetId="0" hidden="1">'User Preferences'!$M$6</definedName>
    <definedName name="solver_rhs903" localSheetId="0" hidden="1">'User Preferences'!$M$7</definedName>
    <definedName name="solver_rhs904" localSheetId="0" hidden="1">'User Preferences'!$M$8</definedName>
    <definedName name="solver_rhs905" localSheetId="0" hidden="1">'User Preferences'!$M$9</definedName>
    <definedName name="solver_rhs906" localSheetId="0" hidden="1">'User Preferences'!$M$10</definedName>
    <definedName name="solver_rhs907" localSheetId="0" hidden="1">'User Preferences'!$M$11</definedName>
    <definedName name="solver_rhs908" localSheetId="0" hidden="1">'User Preferences'!$B$12</definedName>
    <definedName name="solver_rhs91" localSheetId="0" hidden="1">'User Preferences'!$L$8</definedName>
    <definedName name="solver_rhs92" localSheetId="0" hidden="1">'User Preferences'!$L$9</definedName>
    <definedName name="solver_rhs93" localSheetId="0" hidden="1">'User Preferences'!$L$10</definedName>
    <definedName name="solver_rhs94" localSheetId="0" hidden="1">'User Preferences'!$L$11</definedName>
    <definedName name="solver_rhs95" localSheetId="0" hidden="1">'User Preferences'!$I$12</definedName>
    <definedName name="solver_rhs96" localSheetId="0" hidden="1">integer</definedName>
    <definedName name="solver_rhs97" localSheetId="0" hidden="1">integer</definedName>
    <definedName name="solver_rhs98" localSheetId="0" hidden="1">integer</definedName>
    <definedName name="solver_rhs99" localSheetId="0" hidden="1">integer</definedName>
    <definedName name="solver_rlx" localSheetId="1" hidden="1">2</definedName>
    <definedName name="solver_rlx" localSheetId="0" hidden="1">2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1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2147483647</definedName>
    <definedName name="solver_tim" localSheetId="0" hidden="1">2147483647</definedName>
    <definedName name="solver_tol" localSheetId="1" hidden="1">0.01</definedName>
    <definedName name="solver_tol" localSheetId="0" hidden="1">0.01</definedName>
    <definedName name="solver_typ" localSheetId="1" hidden="1">2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  <definedName name="Yhoo" localSheetId="1">HistoricalData!$D$2:$H$32</definedName>
    <definedName name="Yhoo_1" localSheetId="1">HistoricalData!#REF!</definedName>
    <definedName name="YHOO_10" localSheetId="1">HistoricalData!$D$2:$E$251</definedName>
    <definedName name="YHOO_11" localSheetId="1">HistoricalData!$D$2:$E$251</definedName>
    <definedName name="Yhoo_2" localSheetId="1">HistoricalData!$D$2:$H$32</definedName>
    <definedName name="Yhoo_3" localSheetId="1">HistoricalData!$D$2:$H$32</definedName>
    <definedName name="Yhoo_4" localSheetId="1">HistoricalData!$D$2:$H$32</definedName>
    <definedName name="Yhoo_5" localSheetId="1">HistoricalData!$D$2:$H$32</definedName>
    <definedName name="yhoo_6" localSheetId="1">HistoricalData!$D$2:$D$251</definedName>
    <definedName name="Yhoo_7" localSheetId="1">HistoricalData!$D$2:$D$251</definedName>
    <definedName name="YHOO_8" localSheetId="1">HistoricalData!$D$2:$E$251</definedName>
    <definedName name="YHOO_9" localSheetId="1">HistoricalData!$D$2:$E$251</definedName>
  </definedNames>
  <calcPr calcId="152511"/>
</workbook>
</file>

<file path=xl/calcChain.xml><?xml version="1.0" encoding="utf-8"?>
<calcChain xmlns="http://schemas.openxmlformats.org/spreadsheetml/2006/main">
  <c r="E11" i="5" l="1"/>
  <c r="F11" i="5"/>
  <c r="G11" i="5"/>
  <c r="H11" i="5"/>
  <c r="I11" i="5"/>
  <c r="E12" i="5"/>
  <c r="F12" i="5"/>
  <c r="G12" i="5"/>
  <c r="H12" i="5"/>
  <c r="I12" i="5"/>
  <c r="E13" i="5"/>
  <c r="F13" i="5"/>
  <c r="G13" i="5"/>
  <c r="H13" i="5"/>
  <c r="I13" i="5"/>
  <c r="E14" i="5"/>
  <c r="F14" i="5"/>
  <c r="G14" i="5"/>
  <c r="H14" i="5"/>
  <c r="I14" i="5"/>
  <c r="E15" i="5"/>
  <c r="F15" i="5"/>
  <c r="G15" i="5"/>
  <c r="H15" i="5"/>
  <c r="I15" i="5"/>
  <c r="E16" i="5"/>
  <c r="F16" i="5"/>
  <c r="G16" i="5"/>
  <c r="H16" i="5"/>
  <c r="I16" i="5"/>
  <c r="E17" i="5"/>
  <c r="F17" i="5"/>
  <c r="G17" i="5"/>
  <c r="H17" i="5"/>
  <c r="I17" i="5"/>
  <c r="E18" i="5"/>
  <c r="F18" i="5"/>
  <c r="G18" i="5"/>
  <c r="H18" i="5"/>
  <c r="I18" i="5"/>
  <c r="E19" i="5"/>
  <c r="F19" i="5"/>
  <c r="G19" i="5"/>
  <c r="H19" i="5"/>
  <c r="I19" i="5"/>
  <c r="E20" i="5"/>
  <c r="F20" i="5"/>
  <c r="G20" i="5"/>
  <c r="H20" i="5"/>
  <c r="I20" i="5"/>
  <c r="E21" i="5"/>
  <c r="F21" i="5"/>
  <c r="G21" i="5"/>
  <c r="H21" i="5"/>
  <c r="I21" i="5"/>
  <c r="E22" i="5"/>
  <c r="F22" i="5"/>
  <c r="G22" i="5"/>
  <c r="H22" i="5"/>
  <c r="I22" i="5"/>
  <c r="E23" i="5"/>
  <c r="F23" i="5"/>
  <c r="G23" i="5"/>
  <c r="H23" i="5"/>
  <c r="I23" i="5"/>
  <c r="E24" i="5"/>
  <c r="F24" i="5"/>
  <c r="G24" i="5"/>
  <c r="H24" i="5"/>
  <c r="I24" i="5"/>
  <c r="E25" i="5"/>
  <c r="F25" i="5"/>
  <c r="G25" i="5"/>
  <c r="H25" i="5"/>
  <c r="I25" i="5"/>
  <c r="E26" i="5"/>
  <c r="F26" i="5"/>
  <c r="G26" i="5"/>
  <c r="H26" i="5"/>
  <c r="I26" i="5"/>
  <c r="E27" i="5"/>
  <c r="F27" i="5"/>
  <c r="G27" i="5"/>
  <c r="H27" i="5"/>
  <c r="I27" i="5"/>
  <c r="E28" i="5"/>
  <c r="F28" i="5"/>
  <c r="G28" i="5"/>
  <c r="H28" i="5"/>
  <c r="I28" i="5"/>
  <c r="E29" i="5"/>
  <c r="F29" i="5"/>
  <c r="G29" i="5"/>
  <c r="H29" i="5"/>
  <c r="I29" i="5"/>
  <c r="E30" i="5"/>
  <c r="F30" i="5"/>
  <c r="G30" i="5"/>
  <c r="H30" i="5"/>
  <c r="I30" i="5"/>
  <c r="E31" i="5"/>
  <c r="F31" i="5"/>
  <c r="G31" i="5"/>
  <c r="H31" i="5"/>
  <c r="I31" i="5"/>
  <c r="E32" i="5"/>
  <c r="F32" i="5"/>
  <c r="G32" i="5"/>
  <c r="H32" i="5"/>
  <c r="I32" i="5"/>
  <c r="E33" i="5"/>
  <c r="F33" i="5"/>
  <c r="G33" i="5"/>
  <c r="H33" i="5"/>
  <c r="I33" i="5"/>
  <c r="E34" i="5"/>
  <c r="F34" i="5"/>
  <c r="G34" i="5"/>
  <c r="H34" i="5"/>
  <c r="I34" i="5"/>
  <c r="E35" i="5"/>
  <c r="F35" i="5"/>
  <c r="G35" i="5"/>
  <c r="H35" i="5"/>
  <c r="I35" i="5"/>
  <c r="E36" i="5"/>
  <c r="F36" i="5"/>
  <c r="G36" i="5"/>
  <c r="H36" i="5"/>
  <c r="I36" i="5"/>
  <c r="E37" i="5"/>
  <c r="F37" i="5"/>
  <c r="G37" i="5"/>
  <c r="H37" i="5"/>
  <c r="I37" i="5"/>
  <c r="E38" i="5"/>
  <c r="F38" i="5"/>
  <c r="G38" i="5"/>
  <c r="H38" i="5"/>
  <c r="I38" i="5"/>
  <c r="E39" i="5"/>
  <c r="F39" i="5"/>
  <c r="G39" i="5"/>
  <c r="H39" i="5"/>
  <c r="I39" i="5"/>
  <c r="E40" i="5"/>
  <c r="F40" i="5"/>
  <c r="G40" i="5"/>
  <c r="H40" i="5"/>
  <c r="I40" i="5"/>
  <c r="E41" i="5"/>
  <c r="F41" i="5"/>
  <c r="G41" i="5"/>
  <c r="H41" i="5"/>
  <c r="I41" i="5"/>
  <c r="E42" i="5"/>
  <c r="F42" i="5"/>
  <c r="G42" i="5"/>
  <c r="H42" i="5"/>
  <c r="I42" i="5"/>
  <c r="E43" i="5"/>
  <c r="F43" i="5"/>
  <c r="G43" i="5"/>
  <c r="H43" i="5"/>
  <c r="I43" i="5"/>
  <c r="E44" i="5"/>
  <c r="F44" i="5"/>
  <c r="G44" i="5"/>
  <c r="H44" i="5"/>
  <c r="I44" i="5"/>
  <c r="E45" i="5"/>
  <c r="F45" i="5"/>
  <c r="G45" i="5"/>
  <c r="H45" i="5"/>
  <c r="I45" i="5"/>
  <c r="E46" i="5"/>
  <c r="F46" i="5"/>
  <c r="G46" i="5"/>
  <c r="H46" i="5"/>
  <c r="I46" i="5"/>
  <c r="E47" i="5"/>
  <c r="F47" i="5"/>
  <c r="G47" i="5"/>
  <c r="H47" i="5"/>
  <c r="I47" i="5"/>
  <c r="E48" i="5"/>
  <c r="F48" i="5"/>
  <c r="G48" i="5"/>
  <c r="H48" i="5"/>
  <c r="I48" i="5"/>
  <c r="E49" i="5"/>
  <c r="F49" i="5"/>
  <c r="G49" i="5"/>
  <c r="H49" i="5"/>
  <c r="I49" i="5"/>
  <c r="E50" i="5"/>
  <c r="F50" i="5"/>
  <c r="G50" i="5"/>
  <c r="H50" i="5"/>
  <c r="I50" i="5"/>
  <c r="E51" i="5"/>
  <c r="F51" i="5"/>
  <c r="G51" i="5"/>
  <c r="H51" i="5"/>
  <c r="I51" i="5"/>
  <c r="E52" i="5"/>
  <c r="F52" i="5"/>
  <c r="G52" i="5"/>
  <c r="H52" i="5"/>
  <c r="I52" i="5"/>
  <c r="E53" i="5"/>
  <c r="F53" i="5"/>
  <c r="G53" i="5"/>
  <c r="H53" i="5"/>
  <c r="I53" i="5"/>
  <c r="E54" i="5"/>
  <c r="F54" i="5"/>
  <c r="G54" i="5"/>
  <c r="H54" i="5"/>
  <c r="I54" i="5"/>
  <c r="E55" i="5"/>
  <c r="F55" i="5"/>
  <c r="G55" i="5"/>
  <c r="H55" i="5"/>
  <c r="I55" i="5"/>
  <c r="E56" i="5"/>
  <c r="F56" i="5"/>
  <c r="G56" i="5"/>
  <c r="H56" i="5"/>
  <c r="I56" i="5"/>
  <c r="E57" i="5"/>
  <c r="F57" i="5"/>
  <c r="G57" i="5"/>
  <c r="H57" i="5"/>
  <c r="I57" i="5"/>
  <c r="E58" i="5"/>
  <c r="F58" i="5"/>
  <c r="G58" i="5"/>
  <c r="H58" i="5"/>
  <c r="I58" i="5"/>
  <c r="E59" i="5"/>
  <c r="F59" i="5"/>
  <c r="G59" i="5"/>
  <c r="H59" i="5"/>
  <c r="I59" i="5"/>
  <c r="E60" i="5"/>
  <c r="F60" i="5"/>
  <c r="G60" i="5"/>
  <c r="H60" i="5"/>
  <c r="I60" i="5"/>
  <c r="E61" i="5"/>
  <c r="F61" i="5"/>
  <c r="G61" i="5"/>
  <c r="H61" i="5"/>
  <c r="I61" i="5"/>
  <c r="E62" i="5"/>
  <c r="F62" i="5"/>
  <c r="G62" i="5"/>
  <c r="H62" i="5"/>
  <c r="I62" i="5"/>
  <c r="E63" i="5"/>
  <c r="F63" i="5"/>
  <c r="G63" i="5"/>
  <c r="H63" i="5"/>
  <c r="I63" i="5"/>
  <c r="E64" i="5"/>
  <c r="F64" i="5"/>
  <c r="G64" i="5"/>
  <c r="H64" i="5"/>
  <c r="I64" i="5"/>
  <c r="E65" i="5"/>
  <c r="F65" i="5"/>
  <c r="G65" i="5"/>
  <c r="H65" i="5"/>
  <c r="I65" i="5"/>
  <c r="E66" i="5"/>
  <c r="F66" i="5"/>
  <c r="G66" i="5"/>
  <c r="H66" i="5"/>
  <c r="I66" i="5"/>
  <c r="E67" i="5"/>
  <c r="F67" i="5"/>
  <c r="G67" i="5"/>
  <c r="H67" i="5"/>
  <c r="I67" i="5"/>
  <c r="E68" i="5"/>
  <c r="F68" i="5"/>
  <c r="G68" i="5"/>
  <c r="H68" i="5"/>
  <c r="I68" i="5"/>
  <c r="E69" i="5"/>
  <c r="F69" i="5"/>
  <c r="G69" i="5"/>
  <c r="H69" i="5"/>
  <c r="I69" i="5"/>
  <c r="E70" i="5"/>
  <c r="F70" i="5"/>
  <c r="G70" i="5"/>
  <c r="H70" i="5"/>
  <c r="I70" i="5"/>
  <c r="E71" i="5"/>
  <c r="F71" i="5"/>
  <c r="G71" i="5"/>
  <c r="H71" i="5"/>
  <c r="I71" i="5"/>
  <c r="E72" i="5"/>
  <c r="F72" i="5"/>
  <c r="G72" i="5"/>
  <c r="H72" i="5"/>
  <c r="I72" i="5"/>
  <c r="E73" i="5"/>
  <c r="F73" i="5"/>
  <c r="G73" i="5"/>
  <c r="H73" i="5"/>
  <c r="I73" i="5"/>
  <c r="E74" i="5"/>
  <c r="F74" i="5"/>
  <c r="G74" i="5"/>
  <c r="H74" i="5"/>
  <c r="I74" i="5"/>
  <c r="E75" i="5"/>
  <c r="F75" i="5"/>
  <c r="G75" i="5"/>
  <c r="H75" i="5"/>
  <c r="I75" i="5"/>
  <c r="E76" i="5"/>
  <c r="F76" i="5"/>
  <c r="G76" i="5"/>
  <c r="H76" i="5"/>
  <c r="I76" i="5"/>
  <c r="E77" i="5"/>
  <c r="F77" i="5"/>
  <c r="G77" i="5"/>
  <c r="H77" i="5"/>
  <c r="I77" i="5"/>
  <c r="E78" i="5"/>
  <c r="F78" i="5"/>
  <c r="G78" i="5"/>
  <c r="H78" i="5"/>
  <c r="I78" i="5"/>
  <c r="E79" i="5"/>
  <c r="F79" i="5"/>
  <c r="G79" i="5"/>
  <c r="H79" i="5"/>
  <c r="I79" i="5"/>
  <c r="E80" i="5"/>
  <c r="F80" i="5"/>
  <c r="G80" i="5"/>
  <c r="H80" i="5"/>
  <c r="I80" i="5"/>
  <c r="E81" i="5"/>
  <c r="F81" i="5"/>
  <c r="G81" i="5"/>
  <c r="H81" i="5"/>
  <c r="I81" i="5"/>
  <c r="E82" i="5"/>
  <c r="F82" i="5"/>
  <c r="G82" i="5"/>
  <c r="H82" i="5"/>
  <c r="I82" i="5"/>
  <c r="E83" i="5"/>
  <c r="F83" i="5"/>
  <c r="G83" i="5"/>
  <c r="H83" i="5"/>
  <c r="I83" i="5"/>
  <c r="E84" i="5"/>
  <c r="F84" i="5"/>
  <c r="G84" i="5"/>
  <c r="H84" i="5"/>
  <c r="I84" i="5"/>
  <c r="E85" i="5"/>
  <c r="F85" i="5"/>
  <c r="G85" i="5"/>
  <c r="H85" i="5"/>
  <c r="I85" i="5"/>
  <c r="E86" i="5"/>
  <c r="F86" i="5"/>
  <c r="G86" i="5"/>
  <c r="H86" i="5"/>
  <c r="I86" i="5"/>
  <c r="E87" i="5"/>
  <c r="F87" i="5"/>
  <c r="G87" i="5"/>
  <c r="H87" i="5"/>
  <c r="I87" i="5"/>
  <c r="E88" i="5"/>
  <c r="F88" i="5"/>
  <c r="G88" i="5"/>
  <c r="H88" i="5"/>
  <c r="I88" i="5"/>
  <c r="E89" i="5"/>
  <c r="F89" i="5"/>
  <c r="G89" i="5"/>
  <c r="H89" i="5"/>
  <c r="I89" i="5"/>
  <c r="E90" i="5"/>
  <c r="F90" i="5"/>
  <c r="G90" i="5"/>
  <c r="H90" i="5"/>
  <c r="I90" i="5"/>
  <c r="E91" i="5"/>
  <c r="F91" i="5"/>
  <c r="G91" i="5"/>
  <c r="H91" i="5"/>
  <c r="I91" i="5"/>
  <c r="E92" i="5"/>
  <c r="F92" i="5"/>
  <c r="G92" i="5"/>
  <c r="H92" i="5"/>
  <c r="I92" i="5"/>
  <c r="E93" i="5"/>
  <c r="F93" i="5"/>
  <c r="G93" i="5"/>
  <c r="H93" i="5"/>
  <c r="I93" i="5"/>
  <c r="E94" i="5"/>
  <c r="F94" i="5"/>
  <c r="G94" i="5"/>
  <c r="H94" i="5"/>
  <c r="I94" i="5"/>
  <c r="E95" i="5"/>
  <c r="F95" i="5"/>
  <c r="G95" i="5"/>
  <c r="H95" i="5"/>
  <c r="I95" i="5"/>
  <c r="E96" i="5"/>
  <c r="F96" i="5"/>
  <c r="G96" i="5"/>
  <c r="H96" i="5"/>
  <c r="I96" i="5"/>
  <c r="E97" i="5"/>
  <c r="F97" i="5"/>
  <c r="G97" i="5"/>
  <c r="H97" i="5"/>
  <c r="I97" i="5"/>
  <c r="E98" i="5"/>
  <c r="F98" i="5"/>
  <c r="G98" i="5"/>
  <c r="H98" i="5"/>
  <c r="I98" i="5"/>
  <c r="E99" i="5"/>
  <c r="F99" i="5"/>
  <c r="G99" i="5"/>
  <c r="H99" i="5"/>
  <c r="I99" i="5"/>
  <c r="E100" i="5"/>
  <c r="F100" i="5"/>
  <c r="G100" i="5"/>
  <c r="H100" i="5"/>
  <c r="I100" i="5"/>
  <c r="E101" i="5"/>
  <c r="F101" i="5"/>
  <c r="G101" i="5"/>
  <c r="H101" i="5"/>
  <c r="I101" i="5"/>
  <c r="E102" i="5"/>
  <c r="F102" i="5"/>
  <c r="G102" i="5"/>
  <c r="H102" i="5"/>
  <c r="I102" i="5"/>
  <c r="E103" i="5"/>
  <c r="F103" i="5"/>
  <c r="G103" i="5"/>
  <c r="H103" i="5"/>
  <c r="I103" i="5"/>
  <c r="E104" i="5"/>
  <c r="F104" i="5"/>
  <c r="G104" i="5"/>
  <c r="H104" i="5"/>
  <c r="I104" i="5"/>
  <c r="E105" i="5"/>
  <c r="F105" i="5"/>
  <c r="G105" i="5"/>
  <c r="H105" i="5"/>
  <c r="I105" i="5"/>
  <c r="E106" i="5"/>
  <c r="F106" i="5"/>
  <c r="G106" i="5"/>
  <c r="H106" i="5"/>
  <c r="I106" i="5"/>
  <c r="E107" i="5"/>
  <c r="F107" i="5"/>
  <c r="G107" i="5"/>
  <c r="H107" i="5"/>
  <c r="I107" i="5"/>
  <c r="E108" i="5"/>
  <c r="F108" i="5"/>
  <c r="G108" i="5"/>
  <c r="H108" i="5"/>
  <c r="I108" i="5"/>
  <c r="E109" i="5"/>
  <c r="F109" i="5"/>
  <c r="G109" i="5"/>
  <c r="H109" i="5"/>
  <c r="I109" i="5"/>
  <c r="E110" i="5"/>
  <c r="F110" i="5"/>
  <c r="G110" i="5"/>
  <c r="H110" i="5"/>
  <c r="I110" i="5"/>
  <c r="E111" i="5"/>
  <c r="F111" i="5"/>
  <c r="G111" i="5"/>
  <c r="H111" i="5"/>
  <c r="I111" i="5"/>
  <c r="E112" i="5"/>
  <c r="F112" i="5"/>
  <c r="G112" i="5"/>
  <c r="H112" i="5"/>
  <c r="I112" i="5"/>
  <c r="E113" i="5"/>
  <c r="F113" i="5"/>
  <c r="G113" i="5"/>
  <c r="H113" i="5"/>
  <c r="I113" i="5"/>
  <c r="E114" i="5"/>
  <c r="F114" i="5"/>
  <c r="G114" i="5"/>
  <c r="H114" i="5"/>
  <c r="I114" i="5"/>
  <c r="E115" i="5"/>
  <c r="F115" i="5"/>
  <c r="G115" i="5"/>
  <c r="H115" i="5"/>
  <c r="I115" i="5"/>
  <c r="E116" i="5"/>
  <c r="F116" i="5"/>
  <c r="G116" i="5"/>
  <c r="H116" i="5"/>
  <c r="I116" i="5"/>
  <c r="E117" i="5"/>
  <c r="F117" i="5"/>
  <c r="G117" i="5"/>
  <c r="H117" i="5"/>
  <c r="I117" i="5"/>
  <c r="E118" i="5"/>
  <c r="F118" i="5"/>
  <c r="G118" i="5"/>
  <c r="H118" i="5"/>
  <c r="I118" i="5"/>
  <c r="E119" i="5"/>
  <c r="F119" i="5"/>
  <c r="G119" i="5"/>
  <c r="H119" i="5"/>
  <c r="I119" i="5"/>
  <c r="E120" i="5"/>
  <c r="F120" i="5"/>
  <c r="G120" i="5"/>
  <c r="H120" i="5"/>
  <c r="I120" i="5"/>
  <c r="E121" i="5"/>
  <c r="F121" i="5"/>
  <c r="G121" i="5"/>
  <c r="H121" i="5"/>
  <c r="I121" i="5"/>
  <c r="E122" i="5"/>
  <c r="F122" i="5"/>
  <c r="G122" i="5"/>
  <c r="H122" i="5"/>
  <c r="I122" i="5"/>
  <c r="E123" i="5"/>
  <c r="F123" i="5"/>
  <c r="G123" i="5"/>
  <c r="H123" i="5"/>
  <c r="I123" i="5"/>
  <c r="E124" i="5"/>
  <c r="F124" i="5"/>
  <c r="G124" i="5"/>
  <c r="H124" i="5"/>
  <c r="I124" i="5"/>
  <c r="E125" i="5"/>
  <c r="F125" i="5"/>
  <c r="G125" i="5"/>
  <c r="H125" i="5"/>
  <c r="I125" i="5"/>
  <c r="E126" i="5"/>
  <c r="F126" i="5"/>
  <c r="G126" i="5"/>
  <c r="H126" i="5"/>
  <c r="I126" i="5"/>
  <c r="E127" i="5"/>
  <c r="F127" i="5"/>
  <c r="G127" i="5"/>
  <c r="H127" i="5"/>
  <c r="I127" i="5"/>
  <c r="E128" i="5"/>
  <c r="F128" i="5"/>
  <c r="G128" i="5"/>
  <c r="H128" i="5"/>
  <c r="I128" i="5"/>
  <c r="E129" i="5"/>
  <c r="F129" i="5"/>
  <c r="G129" i="5"/>
  <c r="H129" i="5"/>
  <c r="I129" i="5"/>
  <c r="E130" i="5"/>
  <c r="F130" i="5"/>
  <c r="G130" i="5"/>
  <c r="H130" i="5"/>
  <c r="I130" i="5"/>
  <c r="E131" i="5"/>
  <c r="F131" i="5"/>
  <c r="G131" i="5"/>
  <c r="H131" i="5"/>
  <c r="I131" i="5"/>
  <c r="E132" i="5"/>
  <c r="F132" i="5"/>
  <c r="G132" i="5"/>
  <c r="H132" i="5"/>
  <c r="I132" i="5"/>
  <c r="E133" i="5"/>
  <c r="F133" i="5"/>
  <c r="G133" i="5"/>
  <c r="H133" i="5"/>
  <c r="I133" i="5"/>
  <c r="E134" i="5"/>
  <c r="F134" i="5"/>
  <c r="G134" i="5"/>
  <c r="H134" i="5"/>
  <c r="I134" i="5"/>
  <c r="E135" i="5"/>
  <c r="F135" i="5"/>
  <c r="G135" i="5"/>
  <c r="H135" i="5"/>
  <c r="I135" i="5"/>
  <c r="E136" i="5"/>
  <c r="F136" i="5"/>
  <c r="G136" i="5"/>
  <c r="H136" i="5"/>
  <c r="I136" i="5"/>
  <c r="E137" i="5"/>
  <c r="F137" i="5"/>
  <c r="G137" i="5"/>
  <c r="H137" i="5"/>
  <c r="I137" i="5"/>
  <c r="E138" i="5"/>
  <c r="F138" i="5"/>
  <c r="G138" i="5"/>
  <c r="H138" i="5"/>
  <c r="I138" i="5"/>
  <c r="E139" i="5"/>
  <c r="F139" i="5"/>
  <c r="G139" i="5"/>
  <c r="H139" i="5"/>
  <c r="I139" i="5"/>
  <c r="E140" i="5"/>
  <c r="F140" i="5"/>
  <c r="G140" i="5"/>
  <c r="H140" i="5"/>
  <c r="I140" i="5"/>
  <c r="E141" i="5"/>
  <c r="F141" i="5"/>
  <c r="G141" i="5"/>
  <c r="H141" i="5"/>
  <c r="I141" i="5"/>
  <c r="E142" i="5"/>
  <c r="F142" i="5"/>
  <c r="G142" i="5"/>
  <c r="H142" i="5"/>
  <c r="I142" i="5"/>
  <c r="E143" i="5"/>
  <c r="F143" i="5"/>
  <c r="G143" i="5"/>
  <c r="H143" i="5"/>
  <c r="I143" i="5"/>
  <c r="E144" i="5"/>
  <c r="F144" i="5"/>
  <c r="G144" i="5"/>
  <c r="H144" i="5"/>
  <c r="I144" i="5"/>
  <c r="E145" i="5"/>
  <c r="F145" i="5"/>
  <c r="G145" i="5"/>
  <c r="H145" i="5"/>
  <c r="I145" i="5"/>
  <c r="E146" i="5"/>
  <c r="F146" i="5"/>
  <c r="G146" i="5"/>
  <c r="H146" i="5"/>
  <c r="I146" i="5"/>
  <c r="E147" i="5"/>
  <c r="F147" i="5"/>
  <c r="G147" i="5"/>
  <c r="H147" i="5"/>
  <c r="I147" i="5"/>
  <c r="E148" i="5"/>
  <c r="F148" i="5"/>
  <c r="G148" i="5"/>
  <c r="H148" i="5"/>
  <c r="I148" i="5"/>
  <c r="E149" i="5"/>
  <c r="F149" i="5"/>
  <c r="G149" i="5"/>
  <c r="H149" i="5"/>
  <c r="I149" i="5"/>
  <c r="E150" i="5"/>
  <c r="F150" i="5"/>
  <c r="G150" i="5"/>
  <c r="H150" i="5"/>
  <c r="I150" i="5"/>
  <c r="E151" i="5"/>
  <c r="F151" i="5"/>
  <c r="G151" i="5"/>
  <c r="H151" i="5"/>
  <c r="I151" i="5"/>
  <c r="E152" i="5"/>
  <c r="F152" i="5"/>
  <c r="G152" i="5"/>
  <c r="H152" i="5"/>
  <c r="I152" i="5"/>
  <c r="E153" i="5"/>
  <c r="F153" i="5"/>
  <c r="G153" i="5"/>
  <c r="H153" i="5"/>
  <c r="I153" i="5"/>
  <c r="E154" i="5"/>
  <c r="F154" i="5"/>
  <c r="G154" i="5"/>
  <c r="H154" i="5"/>
  <c r="I154" i="5"/>
  <c r="E155" i="5"/>
  <c r="F155" i="5"/>
  <c r="G155" i="5"/>
  <c r="H155" i="5"/>
  <c r="I155" i="5"/>
  <c r="E156" i="5"/>
  <c r="F156" i="5"/>
  <c r="G156" i="5"/>
  <c r="H156" i="5"/>
  <c r="I156" i="5"/>
  <c r="E157" i="5"/>
  <c r="F157" i="5"/>
  <c r="G157" i="5"/>
  <c r="H157" i="5"/>
  <c r="I157" i="5"/>
  <c r="E158" i="5"/>
  <c r="F158" i="5"/>
  <c r="G158" i="5"/>
  <c r="H158" i="5"/>
  <c r="I158" i="5"/>
  <c r="E159" i="5"/>
  <c r="F159" i="5"/>
  <c r="G159" i="5"/>
  <c r="H159" i="5"/>
  <c r="I159" i="5"/>
  <c r="E160" i="5"/>
  <c r="F160" i="5"/>
  <c r="G160" i="5"/>
  <c r="H160" i="5"/>
  <c r="I160" i="5"/>
  <c r="E161" i="5"/>
  <c r="F161" i="5"/>
  <c r="G161" i="5"/>
  <c r="H161" i="5"/>
  <c r="I161" i="5"/>
  <c r="E162" i="5"/>
  <c r="F162" i="5"/>
  <c r="G162" i="5"/>
  <c r="H162" i="5"/>
  <c r="I162" i="5"/>
  <c r="E163" i="5"/>
  <c r="F163" i="5"/>
  <c r="G163" i="5"/>
  <c r="H163" i="5"/>
  <c r="I163" i="5"/>
  <c r="E164" i="5"/>
  <c r="F164" i="5"/>
  <c r="G164" i="5"/>
  <c r="H164" i="5"/>
  <c r="I164" i="5"/>
  <c r="E165" i="5"/>
  <c r="F165" i="5"/>
  <c r="G165" i="5"/>
  <c r="H165" i="5"/>
  <c r="I165" i="5"/>
  <c r="E166" i="5"/>
  <c r="F166" i="5"/>
  <c r="G166" i="5"/>
  <c r="H166" i="5"/>
  <c r="I166" i="5"/>
  <c r="E167" i="5"/>
  <c r="F167" i="5"/>
  <c r="G167" i="5"/>
  <c r="H167" i="5"/>
  <c r="I167" i="5"/>
  <c r="E168" i="5"/>
  <c r="F168" i="5"/>
  <c r="G168" i="5"/>
  <c r="H168" i="5"/>
  <c r="I168" i="5"/>
  <c r="E169" i="5"/>
  <c r="F169" i="5"/>
  <c r="G169" i="5"/>
  <c r="H169" i="5"/>
  <c r="I169" i="5"/>
  <c r="E170" i="5"/>
  <c r="F170" i="5"/>
  <c r="G170" i="5"/>
  <c r="H170" i="5"/>
  <c r="I170" i="5"/>
  <c r="E171" i="5"/>
  <c r="F171" i="5"/>
  <c r="G171" i="5"/>
  <c r="H171" i="5"/>
  <c r="I171" i="5"/>
  <c r="E172" i="5"/>
  <c r="F172" i="5"/>
  <c r="G172" i="5"/>
  <c r="H172" i="5"/>
  <c r="I172" i="5"/>
  <c r="E173" i="5"/>
  <c r="F173" i="5"/>
  <c r="G173" i="5"/>
  <c r="H173" i="5"/>
  <c r="I173" i="5"/>
  <c r="E174" i="5"/>
  <c r="F174" i="5"/>
  <c r="G174" i="5"/>
  <c r="H174" i="5"/>
  <c r="I174" i="5"/>
  <c r="E175" i="5"/>
  <c r="F175" i="5"/>
  <c r="G175" i="5"/>
  <c r="H175" i="5"/>
  <c r="I175" i="5"/>
  <c r="E176" i="5"/>
  <c r="F176" i="5"/>
  <c r="G176" i="5"/>
  <c r="H176" i="5"/>
  <c r="I176" i="5"/>
  <c r="E177" i="5"/>
  <c r="F177" i="5"/>
  <c r="G177" i="5"/>
  <c r="H177" i="5"/>
  <c r="I177" i="5"/>
  <c r="E178" i="5"/>
  <c r="F178" i="5"/>
  <c r="G178" i="5"/>
  <c r="H178" i="5"/>
  <c r="I178" i="5"/>
  <c r="E179" i="5"/>
  <c r="F179" i="5"/>
  <c r="G179" i="5"/>
  <c r="H179" i="5"/>
  <c r="I179" i="5"/>
  <c r="E180" i="5"/>
  <c r="F180" i="5"/>
  <c r="G180" i="5"/>
  <c r="H180" i="5"/>
  <c r="I180" i="5"/>
  <c r="E181" i="5"/>
  <c r="F181" i="5"/>
  <c r="G181" i="5"/>
  <c r="H181" i="5"/>
  <c r="I181" i="5"/>
  <c r="E182" i="5"/>
  <c r="F182" i="5"/>
  <c r="G182" i="5"/>
  <c r="H182" i="5"/>
  <c r="I182" i="5"/>
  <c r="E183" i="5"/>
  <c r="F183" i="5"/>
  <c r="G183" i="5"/>
  <c r="H183" i="5"/>
  <c r="I183" i="5"/>
  <c r="E184" i="5"/>
  <c r="F184" i="5"/>
  <c r="G184" i="5"/>
  <c r="H184" i="5"/>
  <c r="I184" i="5"/>
  <c r="E185" i="5"/>
  <c r="F185" i="5"/>
  <c r="G185" i="5"/>
  <c r="H185" i="5"/>
  <c r="I185" i="5"/>
  <c r="E186" i="5"/>
  <c r="F186" i="5"/>
  <c r="G186" i="5"/>
  <c r="H186" i="5"/>
  <c r="I186" i="5"/>
  <c r="E187" i="5"/>
  <c r="F187" i="5"/>
  <c r="G187" i="5"/>
  <c r="H187" i="5"/>
  <c r="I187" i="5"/>
  <c r="E188" i="5"/>
  <c r="F188" i="5"/>
  <c r="G188" i="5"/>
  <c r="H188" i="5"/>
  <c r="I188" i="5"/>
  <c r="E189" i="5"/>
  <c r="F189" i="5"/>
  <c r="G189" i="5"/>
  <c r="H189" i="5"/>
  <c r="I189" i="5"/>
  <c r="E190" i="5"/>
  <c r="F190" i="5"/>
  <c r="G190" i="5"/>
  <c r="H190" i="5"/>
  <c r="I190" i="5"/>
  <c r="E191" i="5"/>
  <c r="F191" i="5"/>
  <c r="G191" i="5"/>
  <c r="H191" i="5"/>
  <c r="I191" i="5"/>
  <c r="E192" i="5"/>
  <c r="F192" i="5"/>
  <c r="G192" i="5"/>
  <c r="H192" i="5"/>
  <c r="I192" i="5"/>
  <c r="E193" i="5"/>
  <c r="F193" i="5"/>
  <c r="G193" i="5"/>
  <c r="H193" i="5"/>
  <c r="I193" i="5"/>
  <c r="E194" i="5"/>
  <c r="F194" i="5"/>
  <c r="G194" i="5"/>
  <c r="H194" i="5"/>
  <c r="I194" i="5"/>
  <c r="E195" i="5"/>
  <c r="F195" i="5"/>
  <c r="G195" i="5"/>
  <c r="H195" i="5"/>
  <c r="I195" i="5"/>
  <c r="E196" i="5"/>
  <c r="F196" i="5"/>
  <c r="G196" i="5"/>
  <c r="H196" i="5"/>
  <c r="I196" i="5"/>
  <c r="E197" i="5"/>
  <c r="F197" i="5"/>
  <c r="G197" i="5"/>
  <c r="H197" i="5"/>
  <c r="I197" i="5"/>
  <c r="E198" i="5"/>
  <c r="F198" i="5"/>
  <c r="G198" i="5"/>
  <c r="H198" i="5"/>
  <c r="I198" i="5"/>
  <c r="E199" i="5"/>
  <c r="F199" i="5"/>
  <c r="G199" i="5"/>
  <c r="H199" i="5"/>
  <c r="I199" i="5"/>
  <c r="E200" i="5"/>
  <c r="F200" i="5"/>
  <c r="G200" i="5"/>
  <c r="H200" i="5"/>
  <c r="I200" i="5"/>
  <c r="E201" i="5"/>
  <c r="F201" i="5"/>
  <c r="G201" i="5"/>
  <c r="H201" i="5"/>
  <c r="I201" i="5"/>
  <c r="E202" i="5"/>
  <c r="F202" i="5"/>
  <c r="G202" i="5"/>
  <c r="H202" i="5"/>
  <c r="I202" i="5"/>
  <c r="E203" i="5"/>
  <c r="F203" i="5"/>
  <c r="G203" i="5"/>
  <c r="H203" i="5"/>
  <c r="I203" i="5"/>
  <c r="E204" i="5"/>
  <c r="F204" i="5"/>
  <c r="G204" i="5"/>
  <c r="H204" i="5"/>
  <c r="I204" i="5"/>
  <c r="E205" i="5"/>
  <c r="F205" i="5"/>
  <c r="G205" i="5"/>
  <c r="H205" i="5"/>
  <c r="I205" i="5"/>
  <c r="E206" i="5"/>
  <c r="F206" i="5"/>
  <c r="G206" i="5"/>
  <c r="H206" i="5"/>
  <c r="I206" i="5"/>
  <c r="E207" i="5"/>
  <c r="F207" i="5"/>
  <c r="G207" i="5"/>
  <c r="H207" i="5"/>
  <c r="I207" i="5"/>
  <c r="E208" i="5"/>
  <c r="F208" i="5"/>
  <c r="G208" i="5"/>
  <c r="H208" i="5"/>
  <c r="I208" i="5"/>
  <c r="E209" i="5"/>
  <c r="F209" i="5"/>
  <c r="G209" i="5"/>
  <c r="H209" i="5"/>
  <c r="I209" i="5"/>
  <c r="E210" i="5"/>
  <c r="F210" i="5"/>
  <c r="G210" i="5"/>
  <c r="H210" i="5"/>
  <c r="I210" i="5"/>
  <c r="E211" i="5"/>
  <c r="F211" i="5"/>
  <c r="G211" i="5"/>
  <c r="H211" i="5"/>
  <c r="I211" i="5"/>
  <c r="E212" i="5"/>
  <c r="F212" i="5"/>
  <c r="G212" i="5"/>
  <c r="H212" i="5"/>
  <c r="I212" i="5"/>
  <c r="E213" i="5"/>
  <c r="F213" i="5"/>
  <c r="G213" i="5"/>
  <c r="H213" i="5"/>
  <c r="I213" i="5"/>
  <c r="E214" i="5"/>
  <c r="F214" i="5"/>
  <c r="G214" i="5"/>
  <c r="H214" i="5"/>
  <c r="I214" i="5"/>
  <c r="E215" i="5"/>
  <c r="F215" i="5"/>
  <c r="G215" i="5"/>
  <c r="H215" i="5"/>
  <c r="I215" i="5"/>
  <c r="E216" i="5"/>
  <c r="F216" i="5"/>
  <c r="G216" i="5"/>
  <c r="H216" i="5"/>
  <c r="I216" i="5"/>
  <c r="E217" i="5"/>
  <c r="F217" i="5"/>
  <c r="G217" i="5"/>
  <c r="H217" i="5"/>
  <c r="I217" i="5"/>
  <c r="E218" i="5"/>
  <c r="F218" i="5"/>
  <c r="G218" i="5"/>
  <c r="H218" i="5"/>
  <c r="I218" i="5"/>
  <c r="E219" i="5"/>
  <c r="F219" i="5"/>
  <c r="G219" i="5"/>
  <c r="H219" i="5"/>
  <c r="I219" i="5"/>
  <c r="E220" i="5"/>
  <c r="F220" i="5"/>
  <c r="G220" i="5"/>
  <c r="H220" i="5"/>
  <c r="I220" i="5"/>
  <c r="E221" i="5"/>
  <c r="F221" i="5"/>
  <c r="G221" i="5"/>
  <c r="H221" i="5"/>
  <c r="I221" i="5"/>
  <c r="E222" i="5"/>
  <c r="F222" i="5"/>
  <c r="G222" i="5"/>
  <c r="H222" i="5"/>
  <c r="I222" i="5"/>
  <c r="E223" i="5"/>
  <c r="F223" i="5"/>
  <c r="G223" i="5"/>
  <c r="H223" i="5"/>
  <c r="I223" i="5"/>
  <c r="E224" i="5"/>
  <c r="F224" i="5"/>
  <c r="G224" i="5"/>
  <c r="H224" i="5"/>
  <c r="I224" i="5"/>
  <c r="E225" i="5"/>
  <c r="F225" i="5"/>
  <c r="G225" i="5"/>
  <c r="H225" i="5"/>
  <c r="I225" i="5"/>
  <c r="E226" i="5"/>
  <c r="F226" i="5"/>
  <c r="G226" i="5"/>
  <c r="H226" i="5"/>
  <c r="I226" i="5"/>
  <c r="E227" i="5"/>
  <c r="F227" i="5"/>
  <c r="G227" i="5"/>
  <c r="H227" i="5"/>
  <c r="I227" i="5"/>
  <c r="E228" i="5"/>
  <c r="F228" i="5"/>
  <c r="G228" i="5"/>
  <c r="H228" i="5"/>
  <c r="I228" i="5"/>
  <c r="E229" i="5"/>
  <c r="F229" i="5"/>
  <c r="G229" i="5"/>
  <c r="H229" i="5"/>
  <c r="I229" i="5"/>
  <c r="E230" i="5"/>
  <c r="F230" i="5"/>
  <c r="G230" i="5"/>
  <c r="H230" i="5"/>
  <c r="I230" i="5"/>
  <c r="E231" i="5"/>
  <c r="F231" i="5"/>
  <c r="G231" i="5"/>
  <c r="H231" i="5"/>
  <c r="I231" i="5"/>
  <c r="E232" i="5"/>
  <c r="F232" i="5"/>
  <c r="G232" i="5"/>
  <c r="H232" i="5"/>
  <c r="I232" i="5"/>
  <c r="E233" i="5"/>
  <c r="F233" i="5"/>
  <c r="G233" i="5"/>
  <c r="H233" i="5"/>
  <c r="I233" i="5"/>
  <c r="E234" i="5"/>
  <c r="F234" i="5"/>
  <c r="G234" i="5"/>
  <c r="H234" i="5"/>
  <c r="I234" i="5"/>
  <c r="E235" i="5"/>
  <c r="F235" i="5"/>
  <c r="G235" i="5"/>
  <c r="H235" i="5"/>
  <c r="I235" i="5"/>
  <c r="E236" i="5"/>
  <c r="F236" i="5"/>
  <c r="G236" i="5"/>
  <c r="H236" i="5"/>
  <c r="I236" i="5"/>
  <c r="E237" i="5"/>
  <c r="F237" i="5"/>
  <c r="G237" i="5"/>
  <c r="H237" i="5"/>
  <c r="I237" i="5"/>
  <c r="E238" i="5"/>
  <c r="F238" i="5"/>
  <c r="G238" i="5"/>
  <c r="H238" i="5"/>
  <c r="I238" i="5"/>
  <c r="E239" i="5"/>
  <c r="F239" i="5"/>
  <c r="G239" i="5"/>
  <c r="H239" i="5"/>
  <c r="I239" i="5"/>
  <c r="E240" i="5"/>
  <c r="F240" i="5"/>
  <c r="G240" i="5"/>
  <c r="H240" i="5"/>
  <c r="I240" i="5"/>
  <c r="E241" i="5"/>
  <c r="F241" i="5"/>
  <c r="G241" i="5"/>
  <c r="H241" i="5"/>
  <c r="I241" i="5"/>
  <c r="E242" i="5"/>
  <c r="F242" i="5"/>
  <c r="G242" i="5"/>
  <c r="H242" i="5"/>
  <c r="I242" i="5"/>
  <c r="E243" i="5"/>
  <c r="F243" i="5"/>
  <c r="G243" i="5"/>
  <c r="H243" i="5"/>
  <c r="I243" i="5"/>
  <c r="E244" i="5"/>
  <c r="F244" i="5"/>
  <c r="G244" i="5"/>
  <c r="H244" i="5"/>
  <c r="I244" i="5"/>
  <c r="E245" i="5"/>
  <c r="F245" i="5"/>
  <c r="G245" i="5"/>
  <c r="H245" i="5"/>
  <c r="I245" i="5"/>
  <c r="E246" i="5"/>
  <c r="F246" i="5"/>
  <c r="G246" i="5"/>
  <c r="H246" i="5"/>
  <c r="I246" i="5"/>
  <c r="E247" i="5"/>
  <c r="F247" i="5"/>
  <c r="G247" i="5"/>
  <c r="H247" i="5"/>
  <c r="I247" i="5"/>
  <c r="E248" i="5"/>
  <c r="F248" i="5"/>
  <c r="G248" i="5"/>
  <c r="H248" i="5"/>
  <c r="I248" i="5"/>
  <c r="E249" i="5"/>
  <c r="F249" i="5"/>
  <c r="G249" i="5"/>
  <c r="H249" i="5"/>
  <c r="I249" i="5"/>
  <c r="E250" i="5"/>
  <c r="F250" i="5"/>
  <c r="G250" i="5"/>
  <c r="H250" i="5"/>
  <c r="I250" i="5"/>
  <c r="E251" i="5"/>
  <c r="F251" i="5"/>
  <c r="G251" i="5"/>
  <c r="H251" i="5"/>
  <c r="I251" i="5"/>
  <c r="E252" i="5"/>
  <c r="F252" i="5"/>
  <c r="G252" i="5"/>
  <c r="H252" i="5"/>
  <c r="I252" i="5"/>
  <c r="J246" i="5" l="1"/>
  <c r="K246" i="5" s="1"/>
  <c r="L246" i="5" s="1"/>
  <c r="J16" i="5"/>
  <c r="K16" i="5" s="1"/>
  <c r="L16" i="5" s="1"/>
  <c r="J175" i="5"/>
  <c r="K175" i="5" s="1"/>
  <c r="L175" i="5" s="1"/>
  <c r="J244" i="5"/>
  <c r="K244" i="5" s="1"/>
  <c r="L244" i="5" s="1"/>
  <c r="J80" i="5"/>
  <c r="K80" i="5" s="1"/>
  <c r="L80" i="5" s="1"/>
  <c r="J111" i="5"/>
  <c r="K111" i="5" s="1"/>
  <c r="L111" i="5" s="1"/>
  <c r="J207" i="5"/>
  <c r="K207" i="5" s="1"/>
  <c r="L207" i="5" s="1"/>
  <c r="J191" i="5"/>
  <c r="K191" i="5" s="1"/>
  <c r="L191" i="5" s="1"/>
  <c r="J187" i="5"/>
  <c r="K187" i="5" s="1"/>
  <c r="L187" i="5" s="1"/>
  <c r="J183" i="5"/>
  <c r="K183" i="5" s="1"/>
  <c r="L183" i="5" s="1"/>
  <c r="J179" i="5"/>
  <c r="K179" i="5" s="1"/>
  <c r="L179" i="5" s="1"/>
  <c r="J48" i="5"/>
  <c r="K48" i="5" s="1"/>
  <c r="L48" i="5" s="1"/>
  <c r="J32" i="5"/>
  <c r="K32" i="5" s="1"/>
  <c r="L32" i="5" s="1"/>
  <c r="J28" i="5"/>
  <c r="K28" i="5" s="1"/>
  <c r="L28" i="5" s="1"/>
  <c r="J24" i="5"/>
  <c r="K24" i="5" s="1"/>
  <c r="L24" i="5" s="1"/>
  <c r="J20" i="5"/>
  <c r="K20" i="5" s="1"/>
  <c r="L20" i="5" s="1"/>
  <c r="J212" i="5"/>
  <c r="K212" i="5" s="1"/>
  <c r="L212" i="5" s="1"/>
  <c r="J143" i="5"/>
  <c r="K143" i="5" s="1"/>
  <c r="L143" i="5" s="1"/>
  <c r="J127" i="5"/>
  <c r="K127" i="5" s="1"/>
  <c r="L127" i="5" s="1"/>
  <c r="J123" i="5"/>
  <c r="K123" i="5" s="1"/>
  <c r="L123" i="5" s="1"/>
  <c r="J119" i="5"/>
  <c r="K119" i="5" s="1"/>
  <c r="L119" i="5" s="1"/>
  <c r="J115" i="5"/>
  <c r="K115" i="5" s="1"/>
  <c r="L115" i="5" s="1"/>
  <c r="J92" i="5"/>
  <c r="K92" i="5" s="1"/>
  <c r="L92" i="5" s="1"/>
  <c r="J88" i="5"/>
  <c r="K88" i="5" s="1"/>
  <c r="L88" i="5" s="1"/>
  <c r="J84" i="5"/>
  <c r="K84" i="5" s="1"/>
  <c r="L84" i="5" s="1"/>
  <c r="J228" i="5"/>
  <c r="K228" i="5" s="1"/>
  <c r="L228" i="5" s="1"/>
  <c r="J224" i="5"/>
  <c r="K224" i="5" s="1"/>
  <c r="L224" i="5" s="1"/>
  <c r="J220" i="5"/>
  <c r="K220" i="5" s="1"/>
  <c r="L220" i="5" s="1"/>
  <c r="J216" i="5"/>
  <c r="K216" i="5" s="1"/>
  <c r="L216" i="5" s="1"/>
  <c r="J159" i="5"/>
  <c r="K159" i="5" s="1"/>
  <c r="L159" i="5" s="1"/>
  <c r="J155" i="5"/>
  <c r="K155" i="5" s="1"/>
  <c r="L155" i="5" s="1"/>
  <c r="J151" i="5"/>
  <c r="K151" i="5" s="1"/>
  <c r="L151" i="5" s="1"/>
  <c r="J147" i="5"/>
  <c r="K147" i="5" s="1"/>
  <c r="L147" i="5" s="1"/>
  <c r="J64" i="5"/>
  <c r="K64" i="5" s="1"/>
  <c r="L64" i="5" s="1"/>
  <c r="J60" i="5"/>
  <c r="K60" i="5" s="1"/>
  <c r="L60" i="5" s="1"/>
  <c r="J56" i="5"/>
  <c r="K56" i="5" s="1"/>
  <c r="L56" i="5" s="1"/>
  <c r="J52" i="5"/>
  <c r="K52" i="5" s="1"/>
  <c r="L52" i="5" s="1"/>
  <c r="J240" i="5"/>
  <c r="K240" i="5" s="1"/>
  <c r="L240" i="5" s="1"/>
  <c r="J236" i="5"/>
  <c r="K236" i="5" s="1"/>
  <c r="L236" i="5" s="1"/>
  <c r="J232" i="5"/>
  <c r="K232" i="5" s="1"/>
  <c r="L232" i="5" s="1"/>
  <c r="J203" i="5"/>
  <c r="K203" i="5" s="1"/>
  <c r="L203" i="5" s="1"/>
  <c r="J199" i="5"/>
  <c r="K199" i="5" s="1"/>
  <c r="L199" i="5" s="1"/>
  <c r="J195" i="5"/>
  <c r="K195" i="5" s="1"/>
  <c r="L195" i="5" s="1"/>
  <c r="J171" i="5"/>
  <c r="K171" i="5" s="1"/>
  <c r="L171" i="5" s="1"/>
  <c r="J167" i="5"/>
  <c r="K167" i="5" s="1"/>
  <c r="L167" i="5" s="1"/>
  <c r="J163" i="5"/>
  <c r="K163" i="5" s="1"/>
  <c r="L163" i="5" s="1"/>
  <c r="J139" i="5"/>
  <c r="K139" i="5" s="1"/>
  <c r="L139" i="5" s="1"/>
  <c r="J135" i="5"/>
  <c r="K135" i="5" s="1"/>
  <c r="L135" i="5" s="1"/>
  <c r="J131" i="5"/>
  <c r="K131" i="5" s="1"/>
  <c r="L131" i="5" s="1"/>
  <c r="J107" i="5"/>
  <c r="K107" i="5" s="1"/>
  <c r="L107" i="5" s="1"/>
  <c r="J103" i="5"/>
  <c r="K103" i="5" s="1"/>
  <c r="L103" i="5" s="1"/>
  <c r="J99" i="5"/>
  <c r="K99" i="5" s="1"/>
  <c r="L99" i="5" s="1"/>
  <c r="J76" i="5"/>
  <c r="K76" i="5" s="1"/>
  <c r="L76" i="5" s="1"/>
  <c r="J72" i="5"/>
  <c r="K72" i="5" s="1"/>
  <c r="L72" i="5" s="1"/>
  <c r="J68" i="5"/>
  <c r="K68" i="5" s="1"/>
  <c r="L68" i="5" s="1"/>
  <c r="J44" i="5"/>
  <c r="K44" i="5" s="1"/>
  <c r="L44" i="5" s="1"/>
  <c r="J40" i="5"/>
  <c r="K40" i="5" s="1"/>
  <c r="L40" i="5" s="1"/>
  <c r="J36" i="5"/>
  <c r="K36" i="5" s="1"/>
  <c r="L36" i="5" s="1"/>
  <c r="J12" i="5"/>
  <c r="K12" i="5" s="1"/>
  <c r="L12" i="5" s="1"/>
  <c r="J252" i="5"/>
  <c r="K252" i="5" s="1"/>
  <c r="J250" i="5"/>
  <c r="K250" i="5" s="1"/>
  <c r="L250" i="5" s="1"/>
  <c r="J251" i="5"/>
  <c r="K251" i="5" s="1"/>
  <c r="L251" i="5" s="1"/>
  <c r="J249" i="5"/>
  <c r="K249" i="5" s="1"/>
  <c r="L249" i="5" s="1"/>
  <c r="J242" i="5"/>
  <c r="K242" i="5" s="1"/>
  <c r="L242" i="5" s="1"/>
  <c r="J239" i="5"/>
  <c r="K239" i="5" s="1"/>
  <c r="L239" i="5" s="1"/>
  <c r="J234" i="5"/>
  <c r="K234" i="5" s="1"/>
  <c r="L234" i="5" s="1"/>
  <c r="J231" i="5"/>
  <c r="K231" i="5" s="1"/>
  <c r="L231" i="5" s="1"/>
  <c r="J226" i="5"/>
  <c r="K226" i="5" s="1"/>
  <c r="L226" i="5" s="1"/>
  <c r="J223" i="5"/>
  <c r="K223" i="5" s="1"/>
  <c r="L223" i="5" s="1"/>
  <c r="J218" i="5"/>
  <c r="K218" i="5" s="1"/>
  <c r="L218" i="5" s="1"/>
  <c r="J215" i="5"/>
  <c r="K215" i="5" s="1"/>
  <c r="L215" i="5" s="1"/>
  <c r="J210" i="5"/>
  <c r="K210" i="5" s="1"/>
  <c r="L210" i="5" s="1"/>
  <c r="J205" i="5"/>
  <c r="K205" i="5" s="1"/>
  <c r="L205" i="5" s="1"/>
  <c r="J197" i="5"/>
  <c r="K197" i="5" s="1"/>
  <c r="L197" i="5" s="1"/>
  <c r="J189" i="5"/>
  <c r="K189" i="5" s="1"/>
  <c r="L189" i="5" s="1"/>
  <c r="J181" i="5"/>
  <c r="K181" i="5" s="1"/>
  <c r="L181" i="5" s="1"/>
  <c r="J178" i="5"/>
  <c r="K178" i="5" s="1"/>
  <c r="L178" i="5" s="1"/>
  <c r="J173" i="5"/>
  <c r="K173" i="5" s="1"/>
  <c r="L173" i="5" s="1"/>
  <c r="J170" i="5"/>
  <c r="K170" i="5" s="1"/>
  <c r="L170" i="5" s="1"/>
  <c r="J165" i="5"/>
  <c r="K165" i="5" s="1"/>
  <c r="L165" i="5" s="1"/>
  <c r="J162" i="5"/>
  <c r="K162" i="5" s="1"/>
  <c r="L162" i="5" s="1"/>
  <c r="J157" i="5"/>
  <c r="K157" i="5" s="1"/>
  <c r="L157" i="5" s="1"/>
  <c r="J154" i="5"/>
  <c r="K154" i="5" s="1"/>
  <c r="L154" i="5" s="1"/>
  <c r="J149" i="5"/>
  <c r="K149" i="5" s="1"/>
  <c r="L149" i="5" s="1"/>
  <c r="J146" i="5"/>
  <c r="K146" i="5" s="1"/>
  <c r="L146" i="5" s="1"/>
  <c r="J141" i="5"/>
  <c r="K141" i="5" s="1"/>
  <c r="L141" i="5" s="1"/>
  <c r="J138" i="5"/>
  <c r="K138" i="5" s="1"/>
  <c r="L138" i="5" s="1"/>
  <c r="J133" i="5"/>
  <c r="K133" i="5" s="1"/>
  <c r="L133" i="5" s="1"/>
  <c r="J130" i="5"/>
  <c r="K130" i="5" s="1"/>
  <c r="L130" i="5" s="1"/>
  <c r="J125" i="5"/>
  <c r="K125" i="5" s="1"/>
  <c r="L125" i="5" s="1"/>
  <c r="J122" i="5"/>
  <c r="K122" i="5" s="1"/>
  <c r="L122" i="5" s="1"/>
  <c r="J117" i="5"/>
  <c r="K117" i="5" s="1"/>
  <c r="L117" i="5" s="1"/>
  <c r="J114" i="5"/>
  <c r="K114" i="5" s="1"/>
  <c r="L114" i="5" s="1"/>
  <c r="J109" i="5"/>
  <c r="K109" i="5" s="1"/>
  <c r="L109" i="5" s="1"/>
  <c r="J106" i="5"/>
  <c r="K106" i="5" s="1"/>
  <c r="L106" i="5" s="1"/>
  <c r="J101" i="5"/>
  <c r="K101" i="5" s="1"/>
  <c r="L101" i="5" s="1"/>
  <c r="J98" i="5"/>
  <c r="K98" i="5" s="1"/>
  <c r="L98" i="5" s="1"/>
  <c r="J94" i="5"/>
  <c r="K94" i="5" s="1"/>
  <c r="L94" i="5" s="1"/>
  <c r="J86" i="5"/>
  <c r="K86" i="5" s="1"/>
  <c r="L86" i="5" s="1"/>
  <c r="J78" i="5"/>
  <c r="K78" i="5" s="1"/>
  <c r="L78" i="5" s="1"/>
  <c r="J70" i="5"/>
  <c r="K70" i="5" s="1"/>
  <c r="L70" i="5" s="1"/>
  <c r="J62" i="5"/>
  <c r="K62" i="5" s="1"/>
  <c r="L62" i="5" s="1"/>
  <c r="J54" i="5"/>
  <c r="K54" i="5" s="1"/>
  <c r="L54" i="5" s="1"/>
  <c r="J46" i="5"/>
  <c r="K46" i="5" s="1"/>
  <c r="L46" i="5" s="1"/>
  <c r="J38" i="5"/>
  <c r="K38" i="5" s="1"/>
  <c r="L38" i="5" s="1"/>
  <c r="J30" i="5"/>
  <c r="K30" i="5" s="1"/>
  <c r="L30" i="5" s="1"/>
  <c r="J22" i="5"/>
  <c r="K22" i="5" s="1"/>
  <c r="L22" i="5" s="1"/>
  <c r="J14" i="5"/>
  <c r="K14" i="5" s="1"/>
  <c r="L14" i="5" s="1"/>
  <c r="J248" i="5"/>
  <c r="K248" i="5" s="1"/>
  <c r="L248" i="5" s="1"/>
  <c r="J245" i="5"/>
  <c r="K245" i="5" s="1"/>
  <c r="L245" i="5" s="1"/>
  <c r="J243" i="5"/>
  <c r="K243" i="5" s="1"/>
  <c r="L243" i="5" s="1"/>
  <c r="J238" i="5"/>
  <c r="K238" i="5" s="1"/>
  <c r="L238" i="5" s="1"/>
  <c r="J235" i="5"/>
  <c r="K235" i="5" s="1"/>
  <c r="L235" i="5" s="1"/>
  <c r="J230" i="5"/>
  <c r="K230" i="5" s="1"/>
  <c r="L230" i="5" s="1"/>
  <c r="J227" i="5"/>
  <c r="K227" i="5" s="1"/>
  <c r="L227" i="5" s="1"/>
  <c r="J222" i="5"/>
  <c r="K222" i="5" s="1"/>
  <c r="L222" i="5" s="1"/>
  <c r="J219" i="5"/>
  <c r="K219" i="5" s="1"/>
  <c r="L219" i="5" s="1"/>
  <c r="J214" i="5"/>
  <c r="K214" i="5" s="1"/>
  <c r="L214" i="5" s="1"/>
  <c r="J211" i="5"/>
  <c r="K211" i="5" s="1"/>
  <c r="L211" i="5" s="1"/>
  <c r="J209" i="5"/>
  <c r="K209" i="5" s="1"/>
  <c r="L209" i="5" s="1"/>
  <c r="J201" i="5"/>
  <c r="K201" i="5" s="1"/>
  <c r="L201" i="5" s="1"/>
  <c r="J193" i="5"/>
  <c r="K193" i="5" s="1"/>
  <c r="L193" i="5" s="1"/>
  <c r="J185" i="5"/>
  <c r="K185" i="5" s="1"/>
  <c r="L185" i="5" s="1"/>
  <c r="J177" i="5"/>
  <c r="K177" i="5" s="1"/>
  <c r="L177" i="5" s="1"/>
  <c r="J174" i="5"/>
  <c r="K174" i="5" s="1"/>
  <c r="L174" i="5" s="1"/>
  <c r="J169" i="5"/>
  <c r="K169" i="5" s="1"/>
  <c r="L169" i="5" s="1"/>
  <c r="J166" i="5"/>
  <c r="K166" i="5" s="1"/>
  <c r="L166" i="5" s="1"/>
  <c r="J161" i="5"/>
  <c r="K161" i="5" s="1"/>
  <c r="L161" i="5" s="1"/>
  <c r="J158" i="5"/>
  <c r="K158" i="5" s="1"/>
  <c r="L158" i="5" s="1"/>
  <c r="J153" i="5"/>
  <c r="K153" i="5" s="1"/>
  <c r="L153" i="5" s="1"/>
  <c r="J150" i="5"/>
  <c r="K150" i="5" s="1"/>
  <c r="L150" i="5" s="1"/>
  <c r="J145" i="5"/>
  <c r="K145" i="5" s="1"/>
  <c r="L145" i="5" s="1"/>
  <c r="J142" i="5"/>
  <c r="K142" i="5" s="1"/>
  <c r="L142" i="5" s="1"/>
  <c r="J137" i="5"/>
  <c r="K137" i="5" s="1"/>
  <c r="L137" i="5" s="1"/>
  <c r="J134" i="5"/>
  <c r="K134" i="5" s="1"/>
  <c r="L134" i="5" s="1"/>
  <c r="J129" i="5"/>
  <c r="K129" i="5" s="1"/>
  <c r="L129" i="5" s="1"/>
  <c r="J126" i="5"/>
  <c r="K126" i="5" s="1"/>
  <c r="L126" i="5" s="1"/>
  <c r="J121" i="5"/>
  <c r="K121" i="5" s="1"/>
  <c r="L121" i="5" s="1"/>
  <c r="J118" i="5"/>
  <c r="K118" i="5" s="1"/>
  <c r="L118" i="5" s="1"/>
  <c r="J113" i="5"/>
  <c r="K113" i="5" s="1"/>
  <c r="L113" i="5" s="1"/>
  <c r="J110" i="5"/>
  <c r="K110" i="5" s="1"/>
  <c r="L110" i="5" s="1"/>
  <c r="J105" i="5"/>
  <c r="K105" i="5" s="1"/>
  <c r="L105" i="5" s="1"/>
  <c r="J102" i="5"/>
  <c r="K102" i="5" s="1"/>
  <c r="L102" i="5" s="1"/>
  <c r="J97" i="5"/>
  <c r="K97" i="5" s="1"/>
  <c r="L97" i="5" s="1"/>
  <c r="J90" i="5"/>
  <c r="K90" i="5" s="1"/>
  <c r="L90" i="5" s="1"/>
  <c r="J82" i="5"/>
  <c r="K82" i="5" s="1"/>
  <c r="L82" i="5" s="1"/>
  <c r="J74" i="5"/>
  <c r="K74" i="5" s="1"/>
  <c r="L74" i="5" s="1"/>
  <c r="J66" i="5"/>
  <c r="K66" i="5" s="1"/>
  <c r="L66" i="5" s="1"/>
  <c r="J58" i="5"/>
  <c r="K58" i="5" s="1"/>
  <c r="L58" i="5" s="1"/>
  <c r="J50" i="5"/>
  <c r="K50" i="5" s="1"/>
  <c r="L50" i="5" s="1"/>
  <c r="J42" i="5"/>
  <c r="K42" i="5" s="1"/>
  <c r="L42" i="5" s="1"/>
  <c r="J34" i="5"/>
  <c r="K34" i="5" s="1"/>
  <c r="L34" i="5" s="1"/>
  <c r="J26" i="5"/>
  <c r="K26" i="5" s="1"/>
  <c r="L26" i="5" s="1"/>
  <c r="J18" i="5"/>
  <c r="K18" i="5" s="1"/>
  <c r="L18" i="5" s="1"/>
  <c r="J247" i="5"/>
  <c r="K247" i="5" s="1"/>
  <c r="L247" i="5" s="1"/>
  <c r="J241" i="5"/>
  <c r="K241" i="5" s="1"/>
  <c r="L241" i="5" s="1"/>
  <c r="J237" i="5"/>
  <c r="K237" i="5" s="1"/>
  <c r="L237" i="5" s="1"/>
  <c r="J233" i="5"/>
  <c r="K233" i="5" s="1"/>
  <c r="L233" i="5" s="1"/>
  <c r="J229" i="5"/>
  <c r="K229" i="5" s="1"/>
  <c r="L229" i="5" s="1"/>
  <c r="J225" i="5"/>
  <c r="K225" i="5" s="1"/>
  <c r="L225" i="5" s="1"/>
  <c r="J221" i="5"/>
  <c r="K221" i="5" s="1"/>
  <c r="L221" i="5" s="1"/>
  <c r="J217" i="5"/>
  <c r="K217" i="5" s="1"/>
  <c r="L217" i="5" s="1"/>
  <c r="J213" i="5"/>
  <c r="K213" i="5" s="1"/>
  <c r="L213" i="5" s="1"/>
  <c r="J176" i="5"/>
  <c r="K176" i="5" s="1"/>
  <c r="L176" i="5" s="1"/>
  <c r="J172" i="5"/>
  <c r="K172" i="5" s="1"/>
  <c r="L172" i="5" s="1"/>
  <c r="J168" i="5"/>
  <c r="K168" i="5" s="1"/>
  <c r="L168" i="5" s="1"/>
  <c r="J164" i="5"/>
  <c r="K164" i="5" s="1"/>
  <c r="L164" i="5" s="1"/>
  <c r="J160" i="5"/>
  <c r="K160" i="5" s="1"/>
  <c r="L160" i="5" s="1"/>
  <c r="J156" i="5"/>
  <c r="K156" i="5" s="1"/>
  <c r="L156" i="5" s="1"/>
  <c r="J152" i="5"/>
  <c r="K152" i="5" s="1"/>
  <c r="L152" i="5" s="1"/>
  <c r="J148" i="5"/>
  <c r="K148" i="5" s="1"/>
  <c r="L148" i="5" s="1"/>
  <c r="J144" i="5"/>
  <c r="K144" i="5" s="1"/>
  <c r="L144" i="5" s="1"/>
  <c r="J140" i="5"/>
  <c r="K140" i="5" s="1"/>
  <c r="L140" i="5" s="1"/>
  <c r="J136" i="5"/>
  <c r="K136" i="5" s="1"/>
  <c r="L136" i="5" s="1"/>
  <c r="J132" i="5"/>
  <c r="K132" i="5" s="1"/>
  <c r="L132" i="5" s="1"/>
  <c r="J128" i="5"/>
  <c r="K128" i="5" s="1"/>
  <c r="L128" i="5" s="1"/>
  <c r="J124" i="5"/>
  <c r="K124" i="5" s="1"/>
  <c r="L124" i="5" s="1"/>
  <c r="J120" i="5"/>
  <c r="K120" i="5" s="1"/>
  <c r="L120" i="5" s="1"/>
  <c r="J116" i="5"/>
  <c r="K116" i="5" s="1"/>
  <c r="L116" i="5" s="1"/>
  <c r="J112" i="5"/>
  <c r="K112" i="5" s="1"/>
  <c r="L112" i="5" s="1"/>
  <c r="J108" i="5"/>
  <c r="K108" i="5" s="1"/>
  <c r="L108" i="5" s="1"/>
  <c r="J104" i="5"/>
  <c r="K104" i="5" s="1"/>
  <c r="L104" i="5" s="1"/>
  <c r="J100" i="5"/>
  <c r="K100" i="5" s="1"/>
  <c r="L100" i="5" s="1"/>
  <c r="J96" i="5"/>
  <c r="K96" i="5" s="1"/>
  <c r="L96" i="5" s="1"/>
  <c r="J208" i="5"/>
  <c r="K208" i="5" s="1"/>
  <c r="L208" i="5" s="1"/>
  <c r="J206" i="5"/>
  <c r="K206" i="5" s="1"/>
  <c r="L206" i="5" s="1"/>
  <c r="J204" i="5"/>
  <c r="K204" i="5" s="1"/>
  <c r="L204" i="5" s="1"/>
  <c r="J202" i="5"/>
  <c r="K202" i="5" s="1"/>
  <c r="L202" i="5" s="1"/>
  <c r="J200" i="5"/>
  <c r="K200" i="5" s="1"/>
  <c r="L200" i="5" s="1"/>
  <c r="J198" i="5"/>
  <c r="K198" i="5" s="1"/>
  <c r="L198" i="5" s="1"/>
  <c r="J196" i="5"/>
  <c r="K196" i="5" s="1"/>
  <c r="L196" i="5" s="1"/>
  <c r="J194" i="5"/>
  <c r="K194" i="5" s="1"/>
  <c r="L194" i="5" s="1"/>
  <c r="J192" i="5"/>
  <c r="K192" i="5" s="1"/>
  <c r="L192" i="5" s="1"/>
  <c r="J190" i="5"/>
  <c r="K190" i="5" s="1"/>
  <c r="L190" i="5" s="1"/>
  <c r="J188" i="5"/>
  <c r="K188" i="5" s="1"/>
  <c r="L188" i="5" s="1"/>
  <c r="J186" i="5"/>
  <c r="K186" i="5" s="1"/>
  <c r="L186" i="5" s="1"/>
  <c r="J184" i="5"/>
  <c r="K184" i="5" s="1"/>
  <c r="L184" i="5" s="1"/>
  <c r="J182" i="5"/>
  <c r="K182" i="5" s="1"/>
  <c r="L182" i="5" s="1"/>
  <c r="J180" i="5"/>
  <c r="K180" i="5" s="1"/>
  <c r="L180" i="5" s="1"/>
  <c r="J95" i="5"/>
  <c r="K95" i="5" s="1"/>
  <c r="L95" i="5" s="1"/>
  <c r="J93" i="5"/>
  <c r="K93" i="5" s="1"/>
  <c r="L93" i="5" s="1"/>
  <c r="J91" i="5"/>
  <c r="K91" i="5" s="1"/>
  <c r="L91" i="5" s="1"/>
  <c r="J89" i="5"/>
  <c r="K89" i="5" s="1"/>
  <c r="L89" i="5" s="1"/>
  <c r="J87" i="5"/>
  <c r="K87" i="5" s="1"/>
  <c r="L87" i="5" s="1"/>
  <c r="J85" i="5"/>
  <c r="K85" i="5" s="1"/>
  <c r="L85" i="5" s="1"/>
  <c r="J83" i="5"/>
  <c r="K83" i="5" s="1"/>
  <c r="L83" i="5" s="1"/>
  <c r="J81" i="5"/>
  <c r="K81" i="5" s="1"/>
  <c r="L81" i="5" s="1"/>
  <c r="J79" i="5"/>
  <c r="K79" i="5" s="1"/>
  <c r="L79" i="5" s="1"/>
  <c r="J77" i="5"/>
  <c r="K77" i="5" s="1"/>
  <c r="L77" i="5" s="1"/>
  <c r="J75" i="5"/>
  <c r="K75" i="5" s="1"/>
  <c r="L75" i="5" s="1"/>
  <c r="J73" i="5"/>
  <c r="K73" i="5" s="1"/>
  <c r="L73" i="5" s="1"/>
  <c r="J71" i="5"/>
  <c r="K71" i="5" s="1"/>
  <c r="L71" i="5" s="1"/>
  <c r="J69" i="5"/>
  <c r="K69" i="5" s="1"/>
  <c r="L69" i="5" s="1"/>
  <c r="J67" i="5"/>
  <c r="K67" i="5" s="1"/>
  <c r="L67" i="5" s="1"/>
  <c r="J65" i="5"/>
  <c r="K65" i="5" s="1"/>
  <c r="L65" i="5" s="1"/>
  <c r="J63" i="5"/>
  <c r="K63" i="5" s="1"/>
  <c r="L63" i="5" s="1"/>
  <c r="J61" i="5"/>
  <c r="K61" i="5" s="1"/>
  <c r="L61" i="5" s="1"/>
  <c r="J59" i="5"/>
  <c r="K59" i="5" s="1"/>
  <c r="L59" i="5" s="1"/>
  <c r="J57" i="5"/>
  <c r="K57" i="5" s="1"/>
  <c r="L57" i="5" s="1"/>
  <c r="J55" i="5"/>
  <c r="K55" i="5" s="1"/>
  <c r="L55" i="5" s="1"/>
  <c r="J53" i="5"/>
  <c r="K53" i="5" s="1"/>
  <c r="L53" i="5" s="1"/>
  <c r="J51" i="5"/>
  <c r="K51" i="5" s="1"/>
  <c r="L51" i="5" s="1"/>
  <c r="J49" i="5"/>
  <c r="K49" i="5" s="1"/>
  <c r="L49" i="5" s="1"/>
  <c r="J47" i="5"/>
  <c r="K47" i="5" s="1"/>
  <c r="L47" i="5" s="1"/>
  <c r="J45" i="5"/>
  <c r="K45" i="5" s="1"/>
  <c r="L45" i="5" s="1"/>
  <c r="J43" i="5"/>
  <c r="K43" i="5" s="1"/>
  <c r="L43" i="5" s="1"/>
  <c r="J41" i="5"/>
  <c r="K41" i="5" s="1"/>
  <c r="L41" i="5" s="1"/>
  <c r="J39" i="5"/>
  <c r="K39" i="5" s="1"/>
  <c r="L39" i="5" s="1"/>
  <c r="J37" i="5"/>
  <c r="K37" i="5" s="1"/>
  <c r="L37" i="5" s="1"/>
  <c r="J35" i="5"/>
  <c r="K35" i="5" s="1"/>
  <c r="L35" i="5" s="1"/>
  <c r="J33" i="5"/>
  <c r="K33" i="5" s="1"/>
  <c r="L33" i="5" s="1"/>
  <c r="J31" i="5"/>
  <c r="K31" i="5" s="1"/>
  <c r="L31" i="5" s="1"/>
  <c r="J29" i="5"/>
  <c r="K29" i="5" s="1"/>
  <c r="L29" i="5" s="1"/>
  <c r="J27" i="5"/>
  <c r="K27" i="5" s="1"/>
  <c r="L27" i="5" s="1"/>
  <c r="J25" i="5"/>
  <c r="K25" i="5" s="1"/>
  <c r="L25" i="5" s="1"/>
  <c r="J23" i="5"/>
  <c r="K23" i="5" s="1"/>
  <c r="L23" i="5" s="1"/>
  <c r="J21" i="5"/>
  <c r="K21" i="5" s="1"/>
  <c r="L21" i="5" s="1"/>
  <c r="J19" i="5"/>
  <c r="K19" i="5" s="1"/>
  <c r="L19" i="5" s="1"/>
  <c r="J17" i="5"/>
  <c r="K17" i="5" s="1"/>
  <c r="L17" i="5" s="1"/>
  <c r="J15" i="5"/>
  <c r="K15" i="5" s="1"/>
  <c r="L15" i="5" s="1"/>
  <c r="J13" i="5"/>
  <c r="K13" i="5" s="1"/>
  <c r="L13" i="5" s="1"/>
  <c r="J11" i="5"/>
  <c r="K11" i="5" s="1"/>
  <c r="L11" i="5" s="1"/>
  <c r="E10" i="5"/>
  <c r="I10" i="5"/>
  <c r="H10" i="5"/>
  <c r="G10" i="5"/>
  <c r="F10" i="5"/>
  <c r="J10" i="5" l="1"/>
  <c r="K10" i="5" s="1"/>
  <c r="L10" i="5" s="1"/>
  <c r="O2" i="3"/>
  <c r="I2" i="3"/>
  <c r="M12" i="3"/>
  <c r="J2" i="3"/>
  <c r="I3" i="3"/>
  <c r="I4" i="3"/>
  <c r="I5" i="3"/>
  <c r="I6" i="3"/>
  <c r="I7" i="3"/>
  <c r="I8" i="3"/>
  <c r="I9" i="3"/>
  <c r="I10" i="3"/>
  <c r="I11" i="3"/>
  <c r="K3" i="5" l="1"/>
  <c r="I12" i="3"/>
  <c r="J3" i="3"/>
  <c r="J4" i="3"/>
  <c r="J5" i="3"/>
  <c r="J6" i="3"/>
  <c r="J7" i="3"/>
  <c r="J8" i="3"/>
  <c r="J9" i="3"/>
  <c r="J10" i="3"/>
  <c r="J11" i="3"/>
  <c r="J12" i="3" l="1"/>
  <c r="F8" i="3"/>
  <c r="N8" i="3" s="1"/>
  <c r="F9" i="3"/>
  <c r="N9" i="3" s="1"/>
  <c r="F10" i="3"/>
  <c r="N10" i="3" s="1"/>
  <c r="F11" i="3"/>
  <c r="N11" i="3" s="1"/>
  <c r="F3" i="3"/>
  <c r="N3" i="3" s="1"/>
  <c r="F4" i="3"/>
  <c r="N4" i="3" s="1"/>
  <c r="F5" i="3"/>
  <c r="N5" i="3" s="1"/>
  <c r="F6" i="3"/>
  <c r="N6" i="3" s="1"/>
  <c r="F7" i="3"/>
  <c r="N7" i="3" s="1"/>
  <c r="F2" i="3"/>
  <c r="N2" i="3" s="1"/>
  <c r="N12" i="3" l="1"/>
  <c r="O3" i="3"/>
  <c r="O5" i="3"/>
  <c r="O6" i="3"/>
  <c r="O7" i="3"/>
  <c r="O8" i="3"/>
  <c r="O9" i="3"/>
  <c r="O10" i="3"/>
  <c r="O11" i="3"/>
  <c r="O4" i="3"/>
  <c r="O12" i="3" l="1"/>
  <c r="K2" i="5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s://www.google.com/finance/historical?q=NASDAQ:Yhoo#" htmlTables="1">
      <tables count="1">
        <x v="4"/>
      </tables>
    </webPr>
  </connection>
  <connection id="2" name="Connection1" type="4" refreshedVersion="5" background="1" saveData="1">
    <webPr sourceData="1" parsePre="1" consecutive="1" xl2000="1" url="http://www.google.com/finance/historical?q=NASDAQ%3AYhoo&amp;start=30&amp;num=30#" htmlTables="1">
      <tables count="1">
        <x v="4"/>
      </tables>
    </webPr>
  </connection>
  <connection id="3" name="Connection10" type="4" refreshedVersion="5" background="1" saveData="1">
    <webPr sourceData="1" parsePre="1" consecutive="1" xl2000="1" url="https://www.google.com/finance/historical?q=NASDAQ:Yhoo#" htmlTables="1">
      <tables count="1">
        <x v="4"/>
      </tables>
    </webPr>
  </connection>
  <connection id="4" name="Connection11" type="4" refreshedVersion="5" background="1" saveData="1">
    <webPr sourceData="1" parsePre="1" consecutive="1" xl2000="1" url="http://www.google.com/finance/historical?q=NASDAQ%3AYhoo&amp;start=30&amp;num=30#" htmlTables="1">
      <tables count="1">
        <x v="4"/>
      </tables>
    </webPr>
  </connection>
  <connection id="5" name="Connection12" type="4" refreshedVersion="5" background="1" saveData="1">
    <webPr sourceData="1" parsePre="1" consecutive="1" xl2000="1" url="http://www.google.com/finance/historical?q=NASDAQ%3AYhoo&amp;start=61&amp;num=30#" htmlTables="1">
      <tables count="1">
        <x v="4"/>
      </tables>
    </webPr>
  </connection>
  <connection id="6" name="Connection13" type="4" refreshedVersion="5" background="1" saveData="1">
    <webPr sourceData="1" parsePre="1" consecutive="1" xl2000="1" url="http://www.google.com/finance/historical?q=NASDAQ%3AYhoo&amp;start=92&amp;num=30#" htmlTables="1">
      <tables count="1">
        <x v="4"/>
      </tables>
    </webPr>
  </connection>
  <connection id="7" name="Connection14" type="4" refreshedVersion="5" background="1" saveData="1">
    <webPr sourceData="1" parsePre="1" consecutive="1" xl2000="1" url="http://www.google.com/finance/historical?q=NASDAQ%3AYhoo&amp;start=123&amp;num=30#" htmlTables="1">
      <tables count="1">
        <x v="4"/>
      </tables>
    </webPr>
  </connection>
  <connection id="8" name="Connection15" type="4" refreshedVersion="5" background="1" saveData="1">
    <webPr sourceData="1" parsePre="1" consecutive="1" xl2000="1" url="http://www.google.com/finance/historical?q=NASDAQ%3AYhoo&amp;start=154&amp;num=30#" htmlTables="1">
      <tables count="1">
        <x v="4"/>
      </tables>
    </webPr>
  </connection>
  <connection id="9" name="Connection16" type="4" refreshedVersion="5" background="1" saveData="1">
    <webPr sourceData="1" parsePre="1" consecutive="1" xl2000="1" url="http://www.google.com/finance/historical?q=NASDAQ%3AYhoo&amp;start=185&amp;num=30#" htmlTables="1">
      <tables count="1">
        <x v="4"/>
      </tables>
    </webPr>
  </connection>
  <connection id="10" name="Connection17" type="4" refreshedVersion="5" background="1" saveData="1">
    <webPr sourceData="1" parsePre="1" consecutive="1" xl2000="1" url="http://www.google.com/finance/historical?q=NASDAQ%3AYhoo&amp;start=216&amp;num=30#" htmlTables="1">
      <tables count="1">
        <x v="4"/>
      </tables>
    </webPr>
  </connection>
  <connection id="11" name="Connection18" type="4" refreshedVersion="5" background="1" saveData="1">
    <webPr sourceData="1" parsePre="1" consecutive="1" xl2000="1" url="http://www.google.com/finance/historical?q=NASDAQ%3AYhoo&amp;start=247&amp;num=30#" htmlTables="1">
      <tables count="1">
        <x v="4"/>
      </tables>
    </webPr>
  </connection>
  <connection id="12" name="Connection19" type="4" refreshedVersion="5" background="1" saveData="1">
    <webPr sourceData="1" parsePre="1" consecutive="1" xl2000="1" url="http://www.google.com/finance/historical?q=NASDAQ%3AYhoo&amp;start=278&amp;num=30#" htmlTables="1">
      <tables count="1">
        <x v="4"/>
      </tables>
    </webPr>
  </connection>
  <connection id="13" name="Connection2" type="4" refreshedVersion="5" background="1" saveData="1">
    <webPr sourceData="1" parsePre="1" consecutive="1" xl2000="1" url="http://www.google.com/finance/historical?q=NASDAQ%3AYhoo&amp;start=61&amp;num=30#" htmlTables="1">
      <tables count="1">
        <x v="4"/>
      </tables>
    </webPr>
  </connection>
  <connection id="14" name="Connection20" type="4" refreshedVersion="5" background="1" saveData="1">
    <webPr sourceData="1" parsePre="1" consecutive="1" xl2000="1" url="https://www.google.com/finance/historical?q=NASDAQ:Yhoo#" htmlTables="1">
      <tables count="1">
        <x v="4"/>
      </tables>
    </webPr>
  </connection>
  <connection id="15" name="Connection21" type="4" refreshedVersion="5" background="1" saveData="1">
    <webPr sourceData="1" parsePre="1" consecutive="1" xl2000="1" url="http://www.google.com/finance/historical?q=NASDAQ%3AYhoo&amp;start=30&amp;num=30#" htmlTables="1">
      <tables count="1">
        <x v="4"/>
      </tables>
    </webPr>
  </connection>
  <connection id="16" name="Connection22" type="4" refreshedVersion="5" background="1" saveData="1">
    <webPr sourceData="1" parsePre="1" consecutive="1" xl2000="1" url="http://www.google.com/finance/historical?q=NASDAQ%3AYhoo&amp;start=61&amp;num=30#" htmlTables="1">
      <tables count="1">
        <x v="4"/>
      </tables>
    </webPr>
  </connection>
  <connection id="17" name="Connection23" type="4" refreshedVersion="5" background="1" saveData="1">
    <webPr sourceData="1" parsePre="1" consecutive="1" xl2000="1" url="http://www.google.com/finance/historical?q=NASDAQ%3AYhoo&amp;start=92&amp;num=30#" htmlTables="1">
      <tables count="1">
        <x v="4"/>
      </tables>
    </webPr>
  </connection>
  <connection id="18" name="Connection24" type="4" refreshedVersion="5" background="1" saveData="1">
    <webPr sourceData="1" parsePre="1" consecutive="1" xl2000="1" url="http://www.google.com/finance/historical?q=NASDAQ%3AYhoo&amp;start=123&amp;num=30#" htmlTables="1">
      <tables count="1">
        <x v="4"/>
      </tables>
    </webPr>
  </connection>
  <connection id="19" name="Connection25" type="4" refreshedVersion="5" background="1" saveData="1">
    <webPr sourceData="1" parsePre="1" consecutive="1" xl2000="1" url="http://www.google.com/finance/historical?q=NASDAQ%3AYhoo&amp;start=154&amp;num=30#" htmlTables="1">
      <tables count="1">
        <x v="4"/>
      </tables>
    </webPr>
  </connection>
  <connection id="20" name="Connection26" type="4" refreshedVersion="5" background="1" saveData="1">
    <webPr sourceData="1" parsePre="1" consecutive="1" xl2000="1" url="http://www.google.com/finance/historical?q=NASDAQ%3AYhoo&amp;start=185&amp;num=30#" htmlTables="1">
      <tables count="1">
        <x v="4"/>
      </tables>
    </webPr>
  </connection>
  <connection id="21" name="Connection27" type="4" refreshedVersion="5" background="1" saveData="1">
    <webPr sourceData="1" parsePre="1" consecutive="1" xl2000="1" url="http://www.google.com/finance/historical?q=NASDAQ%3AYhoo&amp;start=216&amp;num=30#" htmlTables="1">
      <tables count="1">
        <x v="4"/>
      </tables>
    </webPr>
  </connection>
  <connection id="22" name="Connection28" type="4" refreshedVersion="5" background="1" saveData="1">
    <webPr sourceData="1" parsePre="1" consecutive="1" xl2000="1" url="http://www.google.com/finance/historical?q=NASDAQ%3AYhoo&amp;start=247&amp;num=30#" htmlTables="1">
      <tables count="1">
        <x v="4"/>
      </tables>
    </webPr>
  </connection>
  <connection id="23" name="Connection29" type="4" refreshedVersion="5" background="1" saveData="1">
    <webPr sourceData="1" parsePre="1" consecutive="1" xl2000="1" url="http://www.google.com/finance/historical?q=NASDAQ%3AYhoo&amp;start=278&amp;num=30#" htmlTables="1">
      <tables count="1">
        <x v="4"/>
      </tables>
    </webPr>
  </connection>
  <connection id="24" name="Connection3" type="4" refreshedVersion="5" background="1" saveData="1">
    <webPr sourceData="1" parsePre="1" consecutive="1" xl2000="1" url="http://www.google.com/finance/historical?q=NASDAQ%3AYhoo&amp;start=92&amp;num=30#" htmlTables="1">
      <tables count="1">
        <x v="4"/>
      </tables>
    </webPr>
  </connection>
  <connection id="25" name="Connection30" type="4" refreshedVersion="5" background="1" saveData="1">
    <webPr sourceData="1" parsePre="1" consecutive="1" xl2000="1" url="http://www.google.com/finance/historical?q=NASDAQ%3AYhoo&amp;start=278&amp;num=30#" htmlTables="1">
      <tables count="1">
        <x v="4"/>
      </tables>
    </webPr>
  </connection>
  <connection id="26" name="Connection31" type="4" refreshedVersion="5" background="1" saveData="1">
    <webPr sourceData="1" parsePre="1" consecutive="1" xl2000="1" url="https://www.google.com/finance/historical?q=NASDAQ:Yhoo#" htmlTables="1">
      <tables count="1">
        <x v="4"/>
      </tables>
    </webPr>
  </connection>
  <connection id="27" name="Connection32" type="4" refreshedVersion="5" background="1" saveData="1">
    <webPr sourceData="1" parsePre="1" consecutive="1" xl2000="1" url="http://www.google.com/finance/historical?q=NASDAQ%3AYhoo&amp;start=30&amp;num=30#" htmlTables="1">
      <tables count="1">
        <x v="4"/>
      </tables>
    </webPr>
  </connection>
  <connection id="28" name="Connection33" type="4" refreshedVersion="5" background="1" saveData="1">
    <webPr sourceData="1" parsePre="1" consecutive="1" xl2000="1" url="http://www.google.com/finance/historical?q=NASDAQ%3AYhoo&amp;start=61&amp;num=30#" htmlTables="1">
      <tables count="1">
        <x v="4"/>
      </tables>
    </webPr>
  </connection>
  <connection id="29" name="Connection34" type="4" refreshedVersion="5" background="1" saveData="1">
    <webPr sourceData="1" parsePre="1" consecutive="1" xl2000="1" url="http://www.google.com/finance/historical?q=NASDAQ%3AYhoo&amp;start=92&amp;num=30#" htmlTables="1">
      <tables count="1">
        <x v="4"/>
      </tables>
    </webPr>
  </connection>
  <connection id="30" name="Connection35" type="4" refreshedVersion="5" background="1" saveData="1">
    <webPr sourceData="1" parsePre="1" consecutive="1" xl2000="1" url="http://www.google.com/finance/historical?q=NASDAQ%3AYhoo&amp;start=123&amp;num=30#" htmlTables="1">
      <tables count="1">
        <x v="4"/>
      </tables>
    </webPr>
  </connection>
  <connection id="31" name="Connection36" type="4" refreshedVersion="5" background="1" saveData="1">
    <webPr sourceData="1" parsePre="1" consecutive="1" xl2000="1" url="http://www.google.com/finance/historical?q=NASDAQ%3AYhoo&amp;start=154&amp;num=30#" htmlTables="1">
      <tables count="1">
        <x v="4"/>
      </tables>
    </webPr>
  </connection>
  <connection id="32" name="Connection37" type="4" refreshedVersion="5" background="1" saveData="1">
    <webPr sourceData="1" parsePre="1" consecutive="1" xl2000="1" url="http://www.google.com/finance/historical?q=NASDAQ%3AYhoo&amp;start=185&amp;num=30#" htmlTables="1">
      <tables count="1">
        <x v="4"/>
      </tables>
    </webPr>
  </connection>
  <connection id="33" name="Connection38" type="4" refreshedVersion="5" background="1" saveData="1">
    <webPr sourceData="1" parsePre="1" consecutive="1" xl2000="1" url="http://www.google.com/finance/historical?q=NASDAQ%3AYhoo&amp;start=216&amp;num=30#" htmlTables="1">
      <tables count="1">
        <x v="4"/>
      </tables>
    </webPr>
  </connection>
  <connection id="34" name="Connection39" type="4" refreshedVersion="5" background="1" saveData="1">
    <webPr sourceData="1" parsePre="1" consecutive="1" xl2000="1" url="http://www.google.com/finance/historical?q=NASDAQ%3AYhoo&amp;start=247&amp;num=30#" htmlTables="1">
      <tables count="1">
        <x v="4"/>
      </tables>
    </webPr>
  </connection>
  <connection id="35" name="Connection4" type="4" refreshedVersion="5" background="1" saveData="1">
    <webPr sourceData="1" parsePre="1" consecutive="1" xl2000="1" url="http://www.google.com/finance/historical?q=NASDAQ%3AYhoo&amp;start=123&amp;num=30#" htmlTables="1">
      <tables count="1">
        <x v="4"/>
      </tables>
    </webPr>
  </connection>
  <connection id="36" name="Connection40" type="4" refreshedVersion="5" background="1" saveData="1">
    <webPr sourceData="1" parsePre="1" consecutive="1" xl2000="1" url="http://www.google.com/finance/historical?q=NASDAQ%3AYhoo&amp;start=278&amp;num=30#" htmlTables="1">
      <tables count="1">
        <x v="4"/>
      </tables>
    </webPr>
  </connection>
  <connection id="37" name="Connection41" type="4" refreshedVersion="5" background="1" saveData="1">
    <webPr sourceData="1" parsePre="1" consecutive="1" xl2000="1" url="https://www.google.com/finance/historical?q=NASDAQ:Yhoo#" htmlTables="1">
      <tables count="1">
        <x v="4"/>
      </tables>
    </webPr>
  </connection>
  <connection id="38" name="Connection42" type="4" refreshedVersion="5" background="1" saveData="1">
    <webPr sourceData="1" parsePre="1" consecutive="1" xl2000="1" url="http://www.google.com/finance/historical?q=NASDAQ%3AYhoo&amp;start=30&amp;num=30#" htmlTables="1">
      <tables count="1">
        <x v="4"/>
      </tables>
    </webPr>
  </connection>
  <connection id="39" name="Connection43" type="4" refreshedVersion="5" background="1" saveData="1">
    <webPr sourceData="1" parsePre="1" consecutive="1" xl2000="1" url="http://www.google.com/finance/historical?q=NASDAQ%3AYhoo&amp;start=61&amp;num=30#" htmlTables="1">
      <tables count="1">
        <x v="4"/>
      </tables>
    </webPr>
  </connection>
  <connection id="40" name="Connection44" type="4" refreshedVersion="5" background="1" saveData="1">
    <webPr sourceData="1" parsePre="1" consecutive="1" xl2000="1" url="http://www.google.com/finance/historical?q=NASDAQ%3AYhoo&amp;start=92&amp;num=30#" htmlTables="1">
      <tables count="1">
        <x v="4"/>
      </tables>
    </webPr>
  </connection>
  <connection id="41" name="Connection45" type="4" refreshedVersion="5" background="1" saveData="1">
    <webPr sourceData="1" parsePre="1" consecutive="1" xl2000="1" url="http://www.google.com/finance/historical?q=NASDAQ%3AYhoo&amp;start=123&amp;num=30#" htmlTables="1">
      <tables count="1">
        <x v="4"/>
      </tables>
    </webPr>
  </connection>
  <connection id="42" name="Connection46" type="4" refreshedVersion="5" background="1" saveData="1">
    <webPr sourceData="1" parsePre="1" consecutive="1" xl2000="1" url="http://www.google.com/finance/historical?q=NASDAQ%3AYhoo&amp;start=154&amp;num=30#" htmlTables="1">
      <tables count="1">
        <x v="4"/>
      </tables>
    </webPr>
  </connection>
  <connection id="43" name="Connection47" type="4" refreshedVersion="5" background="1" saveData="1">
    <webPr sourceData="1" parsePre="1" consecutive="1" xl2000="1" url="http://www.google.com/finance/historical?q=NASDAQ%3AYhoo&amp;start=185&amp;num=30#" htmlTables="1">
      <tables count="1">
        <x v="4"/>
      </tables>
    </webPr>
  </connection>
  <connection id="44" name="Connection48" type="4" refreshedVersion="5" background="1" saveData="1">
    <webPr sourceData="1" parsePre="1" consecutive="1" xl2000="1" url="http://www.google.com/finance/historical?q=NASDAQ%3AYhoo&amp;start=216&amp;num=30#" htmlTables="1">
      <tables count="1">
        <x v="4"/>
      </tables>
    </webPr>
  </connection>
  <connection id="45" name="Connection49" type="4" refreshedVersion="5" background="1" saveData="1">
    <webPr sourceData="1" parsePre="1" consecutive="1" xl2000="1" url="http://www.google.com/finance/historical?q=NASDAQ%3AYhoo&amp;start=247&amp;num=30#" htmlTables="1">
      <tables count="1">
        <x v="4"/>
      </tables>
    </webPr>
  </connection>
  <connection id="46" name="Connection5" type="4" refreshedVersion="5" background="1" saveData="1">
    <webPr sourceData="1" parsePre="1" consecutive="1" xl2000="1" url="http://www.google.com/finance/historical?q=NASDAQ%3AYhoo&amp;start=154&amp;num=30#" htmlTables="1">
      <tables count="1">
        <x v="4"/>
      </tables>
    </webPr>
  </connection>
  <connection id="47" name="Connection50" type="4" refreshedVersion="5" background="1" saveData="1">
    <webPr sourceData="1" parsePre="1" consecutive="1" xl2000="1" url="http://www.google.com/finance/historical?q=NASDAQ%3AYhoo&amp;start=278&amp;num=30#" htmlTables="1">
      <tables count="1">
        <x v="4"/>
      </tables>
    </webPr>
  </connection>
  <connection id="48" name="Connection6" type="4" refreshedVersion="5" background="1" saveData="1">
    <webPr sourceData="1" parsePre="1" consecutive="1" xl2000="1" url="http://www.google.com/finance/historical?q=NASDAQ%3AYhoo&amp;start=185&amp;num=30#" htmlTables="1">
      <tables count="1">
        <x v="4"/>
      </tables>
    </webPr>
  </connection>
  <connection id="49" name="Connection7" type="4" refreshedVersion="5" background="1" saveData="1">
    <webPr sourceData="1" parsePre="1" consecutive="1" xl2000="1" url="http://www.google.com/finance/historical?q=NASDAQ%3AYhoo&amp;start=216&amp;num=30#" htmlTables="1">
      <tables count="1">
        <x v="4"/>
      </tables>
    </webPr>
  </connection>
  <connection id="50" name="Connection8" type="4" refreshedVersion="5" background="1" saveData="1">
    <webPr sourceData="1" parsePre="1" consecutive="1" xl2000="1" url="http://www.google.com/finance/historical?q=NASDAQ%3AYhoo&amp;start=247&amp;num=30#" htmlTables="1">
      <tables count="1">
        <x v="4"/>
      </tables>
    </webPr>
  </connection>
  <connection id="51" name="Connection9" type="4" refreshedVersion="5" background="1" saveData="1">
    <webPr sourceData="1" parsePre="1" consecutive="1" xl2000="1" url="http://www.google.com/finance/historical?q=NASDAQ%3AYhoo&amp;start=278&amp;num=30#" htmlTables="1">
      <tables count="1">
        <x v="4"/>
      </tables>
    </webPr>
  </connection>
  <connection id="52" name="historical?q=NASDAQ%3AAAPL&amp;hl=en&amp;gl=ca&amp;ei=8R-hVtHrC9DDjAGTx4PQDw&amp;output=csv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3" name="historical?q=NASDAQ%3Aaapl&amp;hl=en&amp;gl=ca&amp;ei=8R-hVtHrC9DDjAGTx4PQDw&amp;output=csv1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4" name="historical?q=NASDAQ%3Aaapl&amp;hl=en&amp;gl=ca&amp;ei=8R-hVtHrC9DDjAGTx4PQDw&amp;output=csv10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5" name="historical?q=NASDAQ%3Aaapl&amp;hl=en&amp;gl=ca&amp;ei=8R-hVtHrC9DDjAGTx4PQDw&amp;output=csv11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6" name="historical?q=NASDAQ%3Aaapl&amp;hl=en&amp;gl=ca&amp;ei=8R-hVtHrC9DDjAGTx4PQDw&amp;output=csv12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7" name="historical?q=NASDAQ%3Aaapl&amp;hl=en&amp;gl=ca&amp;ei=8R-hVtHrC9DDjAGTx4PQDw&amp;output=csv13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8" name="historical?q=NASDAQ%3Aaapl&amp;hl=en&amp;gl=ca&amp;ei=8R-hVtHrC9DDjAGTx4PQDw&amp;output=csv14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59" name="historical?q=NASDAQ%3Aaapl&amp;hl=en&amp;gl=ca&amp;ei=8R-hVtHrC9DDjAGTx4PQDw&amp;output=csv15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0" name="historical?q=NASDAQ%3Aaapl&amp;hl=en&amp;gl=ca&amp;ei=8R-hVtHrC9DDjAGTx4PQDw&amp;output=csv16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1" name="historical?q=NASDAQ%3Aaapl&amp;hl=en&amp;gl=ca&amp;ei=8R-hVtHrC9DDjAGTx4PQDw&amp;output=csv17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2" name="historical?q=NASDAQ%3Aaapl&amp;hl=en&amp;gl=ca&amp;ei=8R-hVtHrC9DDjAGTx4PQDw&amp;output=csv2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3" name="historical?q=NASDAQ%3Aaapl&amp;hl=en&amp;gl=ca&amp;ei=8R-hVtHrC9DDjAGTx4PQDw&amp;output=csv3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4" name="historical?q=NASDAQ%3Aaapl&amp;hl=en&amp;gl=ca&amp;ei=8R-hVtHrC9DDjAGTx4PQDw&amp;output=csv4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5" name="historical?q=NASDAQ%3Aaapl&amp;hl=en&amp;gl=ca&amp;ei=8R-hVtHrC9DDjAGTx4PQDw&amp;output=csv5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6" name="historical?q=NASDAQ%3Aaapl&amp;hl=en&amp;gl=ca&amp;ei=8R-hVtHrC9DDjAGTx4PQDw&amp;output=csv6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7" name="historical?q=NASDAQ%3Aaapl&amp;hl=en&amp;gl=ca&amp;ei=8R-hVtHrC9DDjAGTx4PQDw&amp;output=csv7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8" name="historical?q=NASDAQ%3Aaapl&amp;hl=en&amp;gl=ca&amp;ei=8R-hVtHrC9DDjAGTx4PQDw&amp;output=csv8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69" name="historical?q=NASDAQ%3Aaapl&amp;hl=en&amp;gl=ca&amp;ei=8R-hVtHrC9DDjAGTx4PQDw&amp;output=csv9" type="6" refreshedVersion="5" background="1" saveData="1">
    <textPr prompt="0" codePage="65001" sourceFile="http://www.google.ca/finance/historical?q=NASDAQ%3Aaapl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0" name="historical?q=NASDAQ%3AGOOG&amp;hl=en&amp;gl=ca&amp;ei=8R-hVtHrC9DDjAGTx4PQDw&amp;output=csv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 type="skip"/>
        <textField type="skip"/>
        <textField type="skip"/>
        <textField/>
        <textField type="skip"/>
      </textFields>
    </textPr>
  </connection>
  <connection id="71" name="historical?q=NASDAQ%3AGOOG&amp;hl=en&amp;gl=ca&amp;ei=8R-hVtHrC9DDjAGTx4PQDw&amp;output=csv1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 type="skip"/>
        <textField type="skip"/>
        <textField type="skip"/>
        <textField/>
        <textField type="skip"/>
      </textFields>
    </textPr>
  </connection>
  <connection id="72" name="historical?q=NASDAQ%3AGOOG&amp;hl=en&amp;gl=ca&amp;ei=8R-hVtHrC9DDjAGTx4PQDw&amp;output=csv10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3" name="historical?q=NASDAQ%3AGOOG&amp;hl=en&amp;gl=ca&amp;ei=8R-hVtHrC9DDjAGTx4PQDw&amp;output=csv11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4" name="historical?q=NASDAQ%3Agoog&amp;hl=en&amp;gl=ca&amp;ei=8R-hVtHrC9DDjAGTx4PQDw&amp;output=csv12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5" name="historical?q=NASDAQ%3AGOOG&amp;hl=en&amp;gl=ca&amp;ei=8R-hVtHrC9DDjAGTx4PQDw&amp;output=csv2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6" name="historical?q=NASDAQ%3AGOOG&amp;hl=en&amp;gl=ca&amp;ei=8R-hVtHrC9DDjAGTx4PQDw&amp;output=csv3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7" name="historical?q=NASDAQ%3AGOOG&amp;hl=en&amp;gl=ca&amp;ei=8R-hVtHrC9DDjAGTx4PQDw&amp;output=csv4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8" name="historical?q=NASDAQ%3AGOOG&amp;hl=en&amp;gl=ca&amp;ei=8R-hVtHrC9DDjAGTx4PQDw&amp;output=csv5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79" name="historical?q=NASDAQ%3AGOOG&amp;hl=en&amp;gl=ca&amp;ei=8R-hVtHrC9DDjAGTx4PQDw&amp;output=csv6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0" name="historical?q=NASDAQ%3AGOOG&amp;hl=en&amp;gl=ca&amp;ei=8R-hVtHrC9DDjAGTx4PQDw&amp;output=csv7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1" name="historical?q=NASDAQ%3AGOOG&amp;hl=en&amp;gl=ca&amp;ei=8R-hVtHrC9DDjAGTx4PQDw&amp;output=csv8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2" name="historical?q=NASDAQ%3AGOOG&amp;hl=en&amp;gl=ca&amp;ei=8R-hVtHrC9DDjAGTx4PQDw&amp;output=csv9" type="6" refreshedVersion="5" background="1" saveData="1">
    <textPr prompt="0" codePage="65001" sourceFile="http://www.google.ca/finance/historical?q=NASDAQ%3AGOOG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3" name="historical?q=NASDAQ%3AYHOO&amp;hl=en&amp;gl=ca&amp;ei=8R-hVtHrC9DDjAGTx4PQDw&amp;output=csv" type="6" refreshedVersion="5" background="1" saveData="1">
    <textPr prompt="0" codePage="65001" sourceFile="http://www.google.ca/finance/historical?q=NASDAQ%3AYHOO&amp;hl=en&amp;gl=ca&amp;ei=8R-hVtHrC9DDjAGTx4PQDw&amp;output=csv" comma="1">
      <textFields count="6">
        <textField type="DMY"/>
        <textField type="skip"/>
        <textField type="skip"/>
        <textField type="skip"/>
        <textField/>
        <textField type="skip"/>
      </textFields>
    </textPr>
  </connection>
  <connection id="84" name="historical?q=NASDAQ%3AYhoo&amp;hl=en&amp;gl=ca&amp;ei=8R-hVtHrC9DDjAGTx4PQDw&amp;output=csv1" type="6" refreshedVersion="5" background="1" saveData="1">
    <textPr prompt="0" codePage="65001" sourceFile="http://www.google.ca/finance/historical?q=NASDAQ%3AYhoo&amp;hl=en&amp;gl=ca&amp;ei=8R-hVtHrC9DDjAGTx4PQDw&amp;output=csv" comma="1">
      <textFields count="6">
        <textField type="DMY"/>
        <textField type="skip"/>
        <textField type="skip"/>
        <textField type="skip"/>
        <textField/>
        <textField type="skip"/>
      </textFields>
    </textPr>
  </connection>
  <connection id="85" name="historical?q=NASDAQ%3AYHOO&amp;hl=en&amp;gl=ca&amp;ei=8R-hVtHrC9DDjAGTx4PQDw&amp;output=csv2" type="6" refreshedVersion="5" background="1" saveData="1">
    <textPr prompt="0" codePage="65001" sourceFile="http://www.google.ca/finance/historical?q=NASDAQ%3AYHOO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6" name="historical?q=NASDAQ%3AYHOO&amp;hl=en&amp;gl=ca&amp;ei=8R-hVtHrC9DDjAGTx4PQDw&amp;output=csv3" type="6" refreshedVersion="5" background="1" saveData="1">
    <textPr prompt="0" codePage="65001" sourceFile="http://www.google.ca/finance/historical?q=NASDAQ%3AYHOO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7" name="historical?q=NASDAQ%3AYHOO&amp;hl=en&amp;gl=ca&amp;ei=8R-hVtHrC9DDjAGTx4PQDw&amp;output=csv4" type="6" refreshedVersion="5" background="1" saveData="1">
    <textPr prompt="0" codePage="65001" sourceFile="http://www.google.ca/finance/historical?q=NASDAQ%3AYHOO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  <connection id="88" name="historical?q=NASDAQ%3AYHOO&amp;hl=en&amp;gl=ca&amp;ei=8R-hVtHrC9DDjAGTx4PQDw&amp;output=csv5" type="6" refreshedVersion="5" background="1" saveData="1">
    <textPr prompt="0" codePage="65001" sourceFile="http://www.google.ca/finance/historical?q=NASDAQ%3AYHOO&amp;hl=en&amp;gl=ca&amp;ei=8R-hVtHrC9DDjAGTx4PQDw&amp;output=csv" comma="1">
      <textFields count="6">
        <textField type="DMY"/>
        <textField/>
        <textField type="skip"/>
        <textField type="skip"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<sst xmlns="http://schemas.openxmlformats.org/spreadsheetml/2006/main" count="38" uniqueCount="37">
  <si>
    <t>Enter Stock Symbol</t>
  </si>
  <si>
    <t>Current Price</t>
  </si>
  <si>
    <t>Closing Price</t>
  </si>
  <si>
    <t>Budget</t>
  </si>
  <si>
    <t>goog</t>
  </si>
  <si>
    <t>amd</t>
  </si>
  <si>
    <t>intc</t>
  </si>
  <si>
    <t>gm</t>
  </si>
  <si>
    <t>yhoo</t>
  </si>
  <si>
    <t>msft</t>
  </si>
  <si>
    <t>Date</t>
  </si>
  <si>
    <t>Close</t>
  </si>
  <si>
    <t>NASDAQ Symbol</t>
  </si>
  <si>
    <t>Total Purchase Price of Shares</t>
  </si>
  <si>
    <t>Min # of Shares Required to Purchase</t>
  </si>
  <si>
    <t>Max # of Shares Avalible to Purchase</t>
  </si>
  <si>
    <t>Profit per Share (ClosingP - CurrentP)</t>
  </si>
  <si>
    <t>MIN Fraction</t>
  </si>
  <si>
    <t>MAX Fraction</t>
  </si>
  <si>
    <t>Total Profit from Share Purchased</t>
  </si>
  <si>
    <t>Total # of Shares to Purchase</t>
  </si>
  <si>
    <t>Open</t>
  </si>
  <si>
    <t>Y_1</t>
  </si>
  <si>
    <t>Y_2</t>
  </si>
  <si>
    <t>Y_3</t>
  </si>
  <si>
    <t>Y_4</t>
  </si>
  <si>
    <t>Y_5</t>
  </si>
  <si>
    <t>Y</t>
  </si>
  <si>
    <t>diff</t>
  </si>
  <si>
    <t>sq diff</t>
  </si>
  <si>
    <t>W_i</t>
  </si>
  <si>
    <t>Wi_1</t>
  </si>
  <si>
    <t>Wi_2</t>
  </si>
  <si>
    <t>Wi_3</t>
  </si>
  <si>
    <t>Wi_4</t>
  </si>
  <si>
    <t>Wi_5</t>
  </si>
  <si>
    <t>The next day predicted stock price: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</si>
</sst>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</borders>
  <cellStyleXfs count="43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7" fillId="32" borderId="0" applyNumberFormat="0" applyBorder="0" applyAlignment="0" applyProtection="0"/>
    <xf numFmtId="44" fontId="2" fillId="0" borderId="0" applyFont="0" applyFill="0" applyBorder="0" applyAlignment="0" applyProtection="0"/>
  </cellStyleXfs>
  <cellXfs count="29">
    <xf numFmtId="0" fontId="0" fillId="0" borderId="0" xfId="0"/>
    <xf numFmtId="2" fontId="0" fillId="0" borderId="0" xfId="0" applyNumberFormat="1"/>
    <xf numFmtId="15" fontId="0" fillId="0" borderId="0" xfId="0" applyNumberFormat="1"/>
    <xf numFmtId="0" fontId="0" fillId="0" borderId="0" xfId="0" applyFill="1"/>
    <xf numFmtId="0" fontId="1" fillId="34" borderId="10" xfId="0" applyFont="1" applyFill="1" applyBorder="1" applyAlignment="1">
      <alignment horizontal="center" vertical="center" wrapText="1"/>
    </xf>
    <xf numFmtId="0" fontId="0" fillId="34" borderId="10" xfId="0" applyFill="1" applyBorder="1"/>
    <xf numFmtId="0" fontId="1" fillId="33" borderId="1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44" fontId="0" fillId="34" borderId="10" xfId="42" applyFont="1" applyFill="1" applyBorder="1"/>
    <xf numFmtId="44" fontId="1" fillId="33" borderId="10" xfId="42" applyFont="1" applyFill="1" applyBorder="1" applyAlignment="1">
      <alignment vertical="center"/>
    </xf>
    <xf numFmtId="0" fontId="0" fillId="33" borderId="10" xfId="0" applyFill="1" applyBorder="1"/>
    <xf numFmtId="0" fontId="1" fillId="33" borderId="10" xfId="0" applyFont="1" applyFill="1" applyBorder="1" applyAlignment="1">
      <alignment horizontal="left" vertical="center"/>
    </xf>
    <xf numFmtId="0" fontId="1" fillId="34" borderId="11" xfId="0" applyFont="1" applyFill="1" applyBorder="1" applyAlignment="1">
      <alignment horizontal="center" vertical="center" wrapText="1"/>
    </xf>
    <xf numFmtId="2" fontId="0" fillId="34" borderId="11" xfId="0" applyNumberFormat="1" applyFill="1" applyBorder="1"/>
    <xf numFmtId="0" fontId="1" fillId="33" borderId="12" xfId="0" applyFont="1" applyFill="1" applyBorder="1" applyAlignment="1">
      <alignment horizontal="center" vertical="center" wrapText="1"/>
    </xf>
    <xf numFmtId="2" fontId="0" fillId="33" borderId="12" xfId="0" applyNumberFormat="1" applyFill="1" applyBorder="1"/>
    <xf numFmtId="0" fontId="0" fillId="0" borderId="0" xfId="0" applyBorder="1"/>
    <xf numFmtId="0" fontId="1" fillId="0" borderId="0" xfId="0" applyFont="1" applyFill="1" applyBorder="1" applyAlignment="1">
      <alignment horizontal="center" vertical="center" wrapText="1"/>
    </xf>
    <xf numFmtId="44" fontId="0" fillId="0" borderId="0" xfId="42" applyFont="1" applyFill="1" applyBorder="1"/>
    <xf numFmtId="0" fontId="0" fillId="0" borderId="0" xfId="0" applyFill="1" applyBorder="1"/>
    <xf numFmtId="44" fontId="0" fillId="0" borderId="0" xfId="42" applyFont="1" applyFill="1" applyBorder="1" applyAlignment="1">
      <alignment vertical="center"/>
    </xf>
    <xf numFmtId="44" fontId="1" fillId="0" borderId="0" xfId="42" applyFont="1" applyFill="1" applyBorder="1" applyAlignment="1">
      <alignment vertical="center"/>
    </xf>
    <xf numFmtId="0" fontId="1" fillId="34" borderId="10" xfId="42" applyNumberFormat="1" applyFont="1" applyFill="1" applyBorder="1" applyAlignment="1">
      <alignment vertical="center"/>
    </xf>
    <xf numFmtId="2" fontId="1" fillId="34" borderId="12" xfId="0" applyNumberFormat="1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horizontal="center" vertical="center" wrapText="1"/>
    </xf>
    <xf numFmtId="44" fontId="1" fillId="33" borderId="13" xfId="42" applyFont="1" applyFill="1" applyBorder="1" applyAlignment="1">
      <alignment horizontal="right" vertical="center" indent="4"/>
    </xf>
    <xf numFmtId="44" fontId="1" fillId="33" borderId="14" xfId="42" applyFont="1" applyFill="1" applyBorder="1" applyAlignment="1">
      <alignment horizontal="right" vertical="center" indent="4"/>
    </xf>
    <xf numFmtId="44" fontId="1" fillId="33" borderId="14" xfId="42" applyFont="1" applyFill="1" applyBorder="1" applyAlignment="1">
      <alignment horizontal="left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13</xdr:row>
          <xdr:rowOff>152400</xdr:rowOff>
        </xdr:from>
        <xdr:to>
          <xdr:col>8</xdr:col>
          <xdr:colOff>0</xdr:colOff>
          <xdr:row>16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Enter Stock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13</xdr:row>
          <xdr:rowOff>142875</xdr:rowOff>
        </xdr:from>
        <xdr:to>
          <xdr:col>12</xdr:col>
          <xdr:colOff>266700</xdr:colOff>
          <xdr:row>16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Find Portfolio Mix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609600</xdr:colOff>
          <xdr:row>13</xdr:row>
          <xdr:rowOff>152400</xdr:rowOff>
        </xdr:from>
        <xdr:to>
          <xdr:col>14</xdr:col>
          <xdr:colOff>342900</xdr:colOff>
          <xdr:row>16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Create Investment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400050</xdr:colOff>
          <xdr:row>7</xdr:row>
          <xdr:rowOff>114300</xdr:rowOff>
        </xdr:from>
        <xdr:to>
          <xdr:col>15</xdr:col>
          <xdr:colOff>504825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Get Historical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2</xdr:row>
          <xdr:rowOff>85725</xdr:rowOff>
        </xdr:from>
        <xdr:to>
          <xdr:col>15</xdr:col>
          <xdr:colOff>485775</xdr:colOff>
          <xdr:row>6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Export Data To miniProject4 Access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13</xdr:row>
          <xdr:rowOff>9525</xdr:rowOff>
        </xdr:from>
        <xdr:to>
          <xdr:col>15</xdr:col>
          <xdr:colOff>495300</xdr:colOff>
          <xdr:row>17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Next Day Prediction: Summation Error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18</xdr:row>
          <xdr:rowOff>123825</xdr:rowOff>
        </xdr:from>
        <xdr:to>
          <xdr:col>15</xdr:col>
          <xdr:colOff>485775</xdr:colOff>
          <xdr:row>23</xdr:row>
          <xdr:rowOff>28575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Next Day Prediction: Maximum Error Method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YHOO_11" connectionId="8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pl_9" connectionId="6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istorical?q=NASDAQ%3AYhoo&amp;start=92&amp;num=30#_2" connectionId="1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apl_6" connectionId="6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istorical?q=NASDAQ%3AYhoo&amp;start=247&amp;num=30#_5" connectionId="4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istorical?q=NASDAQ%3AYhoo&amp;start=247&amp;num=30#_4" connectionId="3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GOOG_8" connectionId="8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GOOG_7" connectionId="8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Yhoo_7" connectionId="8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istorical?q=NASDAQ%3AYhoo&amp;start=247&amp;num=30#_2" connectionId="2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istorical?q=NASDAQ%3AYhoo&amp;start=185&amp;num=30#_2" connectionId="2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aapl_15" connectionId="5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aapl_14" connectionId="5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istorical?q=NASDAQ%3AYhoo&amp;start=216&amp;num=30#_4" connectionId="3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istorical?q=NASDAQ%3AYhoo&amp;start=30&amp;num=30#_4" connectionId="2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istorical?q=NASDAQ%3AYhoo&amp;start=216&amp;num=30#_3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GOOG_2" connectionId="7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istorical?q=NASDAQ%3AYhoo&amp;start=30&amp;num=30#" connectionId="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YHOO_10" connectionId="8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istorical?q=NASDAQ%3AYhoo&amp;start=61&amp;num=30#_2" connectionId="1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yhoo_6" connectionId="83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Yhoo_4" connectionId="2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Yhoo_2" connectionId="1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istorical?q=NASDAQ%3AYhoo&amp;start=61&amp;num=30#_4" connectionId="2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istorical?q=NASDAQ%3AYhoo&amp;start=185&amp;num=30#_5" connectionId="4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aapl_12" connectionId="5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istorical?q=NASDAQ%3AYhoo&amp;start=216&amp;num=30#_2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istorical?q=NASDAQ%3AYhoo&amp;start=216&amp;num=30#" connectionId="49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istorical?q=NASDAQ%3AYhoo&amp;start=154&amp;num=30#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GOOG_1" connectionId="7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aapl_11" connectionId="5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istorical?q=NASDAQ%3AYhoo&amp;start=278&amp;num=30#_4" connectionId="3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GOOG_9" connectionId="8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istorical?q=NASDAQ%3AYhoo&amp;start=154&amp;num=30#_3" connectionId="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istorical?q=NASDAQ%3AYhoo&amp;start=123&amp;num=30#" connectionId="3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istorical?q=NASDAQ%3AYhoo&amp;start=30&amp;num=30#_5" connectionId="3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aapl_13" connectionId="5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istorical?q=NASDAQ%3AYhoo&amp;start=30&amp;num=30#_3" connectionId="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istorical?q=NASDAQ%3AYhoo&amp;start=61&amp;num=30#_3" connectionId="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GOOG_11" connectionId="7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istorical?q=NASDAQ%3AYhoo&amp;start=123&amp;num=30#_2" connectionId="1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YHOO_8" connectionId="8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istorical?q=NASDAQ%3AYhoo&amp;start=92&amp;num=30#_5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istorical?q=NASDAQ%3AYhoo&amp;start=185&amp;num=30#_3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GOOG_3" connectionId="7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GOOG_10" connectionId="7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istorical?q=NASDAQ%3AYhoo&amp;start=92&amp;num=30#_4" connectionId="2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istorical?q=NASDAQ%3AYhoo&amp;start=123&amp;num=30#_4" connectionId="3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Yhoo_5" connectionId="3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istorical?q=NASDAQ%3AYhoo&amp;start=216&amp;num=30#_5" connectionId="4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istorical?q=NASDAQ%3AYhoo&amp;start=154&amp;num=30#_4" connectionId="3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istorical?q=NASDAQ%3AYhoo&amp;start=154&amp;num=30#_2" connectionId="1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istorical?q=NASDAQ%3AYhoo&amp;start=247&amp;num=30#_3" connectionId="1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istorical?q=NASDAQ%3AYhoo&amp;start=278&amp;num=30#_5" connectionId="4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aapl_2" connectionId="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AAPL" connectionId="5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YHOO_9" connectionId="8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istorical?q=NASDAQ%3AYhoo&amp;start=154&amp;num=30#_5" connectionId="4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istorical?q=NASDAQ%3AYhoo&amp;start=185&amp;num=30#_4" connectionId="3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istorical?q=NASDAQ%3AYhoo&amp;start=123&amp;num=30#_5" connectionId="4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aapl_3" connectionId="6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istorical?q=NASDAQ%3AYhoo&amp;start=61&amp;num=30#_5" connectionId="3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Yhoo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aapl_1" connectionId="5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goog_12" connectionId="7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istorical?q=NASDAQ%3AYhoo&amp;start=92&amp;num=30#" connectionId="2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aapl_7" connectionId="6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GOOG_4" connectionId="7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aapl_8" connectionId="6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aapl_10" connectionId="5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aapl_16" connectionId="60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istorical?q=NASDAQ%3AYhoo&amp;start=278&amp;num=30#_2" connectionId="2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aapl_4" connectionId="64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GOOG_5" connectionId="7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istorical?q=NASDAQ%3AYhoo&amp;start=247&amp;num=30#" connectionId="5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istorical?q=NASDAQ%3AYhoo&amp;start=30&amp;num=30#_2" connectionId="1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istorical?q=NASDAQ%3AYhoo&amp;start=278&amp;num=30#" connectionId="5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GOOG_6" connectionId="7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istorical?q=NASDAQ%3AYhoo&amp;start=278&amp;num=30#_3" connectionId="2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Yhoo_3" connectionId="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aapl_17" connectionId="6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istorical?q=NASDAQ%3AYhoo&amp;start=61&amp;num=30#" connectionId="13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istorical?q=NASDAQ%3AYhoo&amp;start=123&amp;num=30#_3" connectionId="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istorical?q=NASDAQ%3AYhoo&amp;start=278&amp;num=30#_1" connectionId="1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istorical?q=NASDAQ%3AYhoo&amp;start=185&amp;num=30#" connectionId="4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GOOG" connectionId="7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istorical?q=NASDAQ%3AYhoo&amp;start=92&amp;num=30#_3" connectionId="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aapl_5" connectionId="6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9.xml"/><Relationship Id="rId21" Type="http://schemas.openxmlformats.org/officeDocument/2006/relationships/queryTable" Target="../queryTables/queryTable14.xml"/><Relationship Id="rId42" Type="http://schemas.openxmlformats.org/officeDocument/2006/relationships/queryTable" Target="../queryTables/queryTable35.xml"/><Relationship Id="rId47" Type="http://schemas.openxmlformats.org/officeDocument/2006/relationships/queryTable" Target="../queryTables/queryTable40.xml"/><Relationship Id="rId63" Type="http://schemas.openxmlformats.org/officeDocument/2006/relationships/queryTable" Target="../queryTables/queryTable56.xml"/><Relationship Id="rId68" Type="http://schemas.openxmlformats.org/officeDocument/2006/relationships/queryTable" Target="../queryTables/queryTable61.xml"/><Relationship Id="rId84" Type="http://schemas.openxmlformats.org/officeDocument/2006/relationships/queryTable" Target="../queryTables/queryTable77.xml"/><Relationship Id="rId89" Type="http://schemas.openxmlformats.org/officeDocument/2006/relationships/queryTable" Target="../queryTables/queryTable82.xml"/><Relationship Id="rId16" Type="http://schemas.openxmlformats.org/officeDocument/2006/relationships/queryTable" Target="../queryTables/queryTable9.xml"/><Relationship Id="rId11" Type="http://schemas.openxmlformats.org/officeDocument/2006/relationships/queryTable" Target="../queryTables/queryTable4.xml"/><Relationship Id="rId32" Type="http://schemas.openxmlformats.org/officeDocument/2006/relationships/queryTable" Target="../queryTables/queryTable25.xml"/><Relationship Id="rId37" Type="http://schemas.openxmlformats.org/officeDocument/2006/relationships/queryTable" Target="../queryTables/queryTable30.xml"/><Relationship Id="rId53" Type="http://schemas.openxmlformats.org/officeDocument/2006/relationships/queryTable" Target="../queryTables/queryTable46.xml"/><Relationship Id="rId58" Type="http://schemas.openxmlformats.org/officeDocument/2006/relationships/queryTable" Target="../queryTables/queryTable51.xml"/><Relationship Id="rId74" Type="http://schemas.openxmlformats.org/officeDocument/2006/relationships/queryTable" Target="../queryTables/queryTable67.xml"/><Relationship Id="rId79" Type="http://schemas.openxmlformats.org/officeDocument/2006/relationships/queryTable" Target="../queryTables/queryTable72.xml"/><Relationship Id="rId5" Type="http://schemas.openxmlformats.org/officeDocument/2006/relationships/ctrlProp" Target="../ctrlProps/ctrlProp5.xml"/><Relationship Id="rId90" Type="http://schemas.openxmlformats.org/officeDocument/2006/relationships/queryTable" Target="../queryTables/queryTable83.xml"/><Relationship Id="rId95" Type="http://schemas.openxmlformats.org/officeDocument/2006/relationships/queryTable" Target="../queryTables/queryTable88.xml"/><Relationship Id="rId22" Type="http://schemas.openxmlformats.org/officeDocument/2006/relationships/queryTable" Target="../queryTables/queryTable15.xml"/><Relationship Id="rId27" Type="http://schemas.openxmlformats.org/officeDocument/2006/relationships/queryTable" Target="../queryTables/queryTable20.xml"/><Relationship Id="rId43" Type="http://schemas.openxmlformats.org/officeDocument/2006/relationships/queryTable" Target="../queryTables/queryTable36.xml"/><Relationship Id="rId48" Type="http://schemas.openxmlformats.org/officeDocument/2006/relationships/queryTable" Target="../queryTables/queryTable41.xml"/><Relationship Id="rId64" Type="http://schemas.openxmlformats.org/officeDocument/2006/relationships/queryTable" Target="../queryTables/queryTable57.xml"/><Relationship Id="rId69" Type="http://schemas.openxmlformats.org/officeDocument/2006/relationships/queryTable" Target="../queryTables/queryTable62.xml"/><Relationship Id="rId8" Type="http://schemas.openxmlformats.org/officeDocument/2006/relationships/queryTable" Target="../queryTables/queryTable1.xml"/><Relationship Id="rId51" Type="http://schemas.openxmlformats.org/officeDocument/2006/relationships/queryTable" Target="../queryTables/queryTable44.xml"/><Relationship Id="rId72" Type="http://schemas.openxmlformats.org/officeDocument/2006/relationships/queryTable" Target="../queryTables/queryTable65.xml"/><Relationship Id="rId80" Type="http://schemas.openxmlformats.org/officeDocument/2006/relationships/queryTable" Target="../queryTables/queryTable73.xml"/><Relationship Id="rId85" Type="http://schemas.openxmlformats.org/officeDocument/2006/relationships/queryTable" Target="../queryTables/queryTable78.xml"/><Relationship Id="rId93" Type="http://schemas.openxmlformats.org/officeDocument/2006/relationships/queryTable" Target="../queryTables/queryTable86.xml"/><Relationship Id="rId3" Type="http://schemas.openxmlformats.org/officeDocument/2006/relationships/vmlDrawing" Target="../drawings/vmlDrawing2.vml"/><Relationship Id="rId12" Type="http://schemas.openxmlformats.org/officeDocument/2006/relationships/queryTable" Target="../queryTables/queryTable5.xml"/><Relationship Id="rId17" Type="http://schemas.openxmlformats.org/officeDocument/2006/relationships/queryTable" Target="../queryTables/queryTable10.xml"/><Relationship Id="rId25" Type="http://schemas.openxmlformats.org/officeDocument/2006/relationships/queryTable" Target="../queryTables/queryTable18.xml"/><Relationship Id="rId33" Type="http://schemas.openxmlformats.org/officeDocument/2006/relationships/queryTable" Target="../queryTables/queryTable26.xml"/><Relationship Id="rId38" Type="http://schemas.openxmlformats.org/officeDocument/2006/relationships/queryTable" Target="../queryTables/queryTable31.xml"/><Relationship Id="rId46" Type="http://schemas.openxmlformats.org/officeDocument/2006/relationships/queryTable" Target="../queryTables/queryTable39.xml"/><Relationship Id="rId59" Type="http://schemas.openxmlformats.org/officeDocument/2006/relationships/queryTable" Target="../queryTables/queryTable52.xml"/><Relationship Id="rId67" Type="http://schemas.openxmlformats.org/officeDocument/2006/relationships/queryTable" Target="../queryTables/queryTable60.xml"/><Relationship Id="rId20" Type="http://schemas.openxmlformats.org/officeDocument/2006/relationships/queryTable" Target="../queryTables/queryTable13.xml"/><Relationship Id="rId41" Type="http://schemas.openxmlformats.org/officeDocument/2006/relationships/queryTable" Target="../queryTables/queryTable34.xml"/><Relationship Id="rId54" Type="http://schemas.openxmlformats.org/officeDocument/2006/relationships/queryTable" Target="../queryTables/queryTable47.xml"/><Relationship Id="rId62" Type="http://schemas.openxmlformats.org/officeDocument/2006/relationships/queryTable" Target="../queryTables/queryTable55.xml"/><Relationship Id="rId70" Type="http://schemas.openxmlformats.org/officeDocument/2006/relationships/queryTable" Target="../queryTables/queryTable63.xml"/><Relationship Id="rId75" Type="http://schemas.openxmlformats.org/officeDocument/2006/relationships/queryTable" Target="../queryTables/queryTable68.xml"/><Relationship Id="rId83" Type="http://schemas.openxmlformats.org/officeDocument/2006/relationships/queryTable" Target="../queryTables/queryTable76.xml"/><Relationship Id="rId88" Type="http://schemas.openxmlformats.org/officeDocument/2006/relationships/queryTable" Target="../queryTables/queryTable81.xml"/><Relationship Id="rId91" Type="http://schemas.openxmlformats.org/officeDocument/2006/relationships/queryTable" Target="../queryTables/queryTable8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5" Type="http://schemas.openxmlformats.org/officeDocument/2006/relationships/queryTable" Target="../queryTables/queryTable8.xml"/><Relationship Id="rId23" Type="http://schemas.openxmlformats.org/officeDocument/2006/relationships/queryTable" Target="../queryTables/queryTable16.xml"/><Relationship Id="rId28" Type="http://schemas.openxmlformats.org/officeDocument/2006/relationships/queryTable" Target="../queryTables/queryTable21.xml"/><Relationship Id="rId36" Type="http://schemas.openxmlformats.org/officeDocument/2006/relationships/queryTable" Target="../queryTables/queryTable29.xml"/><Relationship Id="rId49" Type="http://schemas.openxmlformats.org/officeDocument/2006/relationships/queryTable" Target="../queryTables/queryTable42.xml"/><Relationship Id="rId57" Type="http://schemas.openxmlformats.org/officeDocument/2006/relationships/queryTable" Target="../queryTables/queryTable50.xml"/><Relationship Id="rId10" Type="http://schemas.openxmlformats.org/officeDocument/2006/relationships/queryTable" Target="../queryTables/queryTable3.xml"/><Relationship Id="rId31" Type="http://schemas.openxmlformats.org/officeDocument/2006/relationships/queryTable" Target="../queryTables/queryTable24.xml"/><Relationship Id="rId44" Type="http://schemas.openxmlformats.org/officeDocument/2006/relationships/queryTable" Target="../queryTables/queryTable37.xml"/><Relationship Id="rId52" Type="http://schemas.openxmlformats.org/officeDocument/2006/relationships/queryTable" Target="../queryTables/queryTable45.xml"/><Relationship Id="rId60" Type="http://schemas.openxmlformats.org/officeDocument/2006/relationships/queryTable" Target="../queryTables/queryTable53.xml"/><Relationship Id="rId65" Type="http://schemas.openxmlformats.org/officeDocument/2006/relationships/queryTable" Target="../queryTables/queryTable58.xml"/><Relationship Id="rId73" Type="http://schemas.openxmlformats.org/officeDocument/2006/relationships/queryTable" Target="../queryTables/queryTable66.xml"/><Relationship Id="rId78" Type="http://schemas.openxmlformats.org/officeDocument/2006/relationships/queryTable" Target="../queryTables/queryTable71.xml"/><Relationship Id="rId81" Type="http://schemas.openxmlformats.org/officeDocument/2006/relationships/queryTable" Target="../queryTables/queryTable74.xml"/><Relationship Id="rId86" Type="http://schemas.openxmlformats.org/officeDocument/2006/relationships/queryTable" Target="../queryTables/queryTable79.xml"/><Relationship Id="rId94" Type="http://schemas.openxmlformats.org/officeDocument/2006/relationships/queryTable" Target="../queryTables/queryTable87.xml"/><Relationship Id="rId4" Type="http://schemas.openxmlformats.org/officeDocument/2006/relationships/ctrlProp" Target="../ctrlProps/ctrlProp4.xml"/><Relationship Id="rId9" Type="http://schemas.openxmlformats.org/officeDocument/2006/relationships/queryTable" Target="../queryTables/queryTable2.xml"/><Relationship Id="rId13" Type="http://schemas.openxmlformats.org/officeDocument/2006/relationships/queryTable" Target="../queryTables/queryTable6.xml"/><Relationship Id="rId18" Type="http://schemas.openxmlformats.org/officeDocument/2006/relationships/queryTable" Target="../queryTables/queryTable11.xml"/><Relationship Id="rId39" Type="http://schemas.openxmlformats.org/officeDocument/2006/relationships/queryTable" Target="../queryTables/queryTable32.xml"/><Relationship Id="rId34" Type="http://schemas.openxmlformats.org/officeDocument/2006/relationships/queryTable" Target="../queryTables/queryTable27.xml"/><Relationship Id="rId50" Type="http://schemas.openxmlformats.org/officeDocument/2006/relationships/queryTable" Target="../queryTables/queryTable43.xml"/><Relationship Id="rId55" Type="http://schemas.openxmlformats.org/officeDocument/2006/relationships/queryTable" Target="../queryTables/queryTable48.xml"/><Relationship Id="rId76" Type="http://schemas.openxmlformats.org/officeDocument/2006/relationships/queryTable" Target="../queryTables/queryTable69.xml"/><Relationship Id="rId7" Type="http://schemas.openxmlformats.org/officeDocument/2006/relationships/ctrlProp" Target="../ctrlProps/ctrlProp7.xml"/><Relationship Id="rId71" Type="http://schemas.openxmlformats.org/officeDocument/2006/relationships/queryTable" Target="../queryTables/queryTable64.xml"/><Relationship Id="rId92" Type="http://schemas.openxmlformats.org/officeDocument/2006/relationships/queryTable" Target="../queryTables/queryTable85.xml"/><Relationship Id="rId2" Type="http://schemas.openxmlformats.org/officeDocument/2006/relationships/drawing" Target="../drawings/drawing2.xml"/><Relationship Id="rId29" Type="http://schemas.openxmlformats.org/officeDocument/2006/relationships/queryTable" Target="../queryTables/queryTable22.xml"/><Relationship Id="rId24" Type="http://schemas.openxmlformats.org/officeDocument/2006/relationships/queryTable" Target="../queryTables/queryTable17.xml"/><Relationship Id="rId40" Type="http://schemas.openxmlformats.org/officeDocument/2006/relationships/queryTable" Target="../queryTables/queryTable33.xml"/><Relationship Id="rId45" Type="http://schemas.openxmlformats.org/officeDocument/2006/relationships/queryTable" Target="../queryTables/queryTable38.xml"/><Relationship Id="rId66" Type="http://schemas.openxmlformats.org/officeDocument/2006/relationships/queryTable" Target="../queryTables/queryTable59.xml"/><Relationship Id="rId87" Type="http://schemas.openxmlformats.org/officeDocument/2006/relationships/queryTable" Target="../queryTables/queryTable80.xml"/><Relationship Id="rId61" Type="http://schemas.openxmlformats.org/officeDocument/2006/relationships/queryTable" Target="../queryTables/queryTable54.xml"/><Relationship Id="rId82" Type="http://schemas.openxmlformats.org/officeDocument/2006/relationships/queryTable" Target="../queryTables/queryTable75.xml"/><Relationship Id="rId19" Type="http://schemas.openxmlformats.org/officeDocument/2006/relationships/queryTable" Target="../queryTables/queryTable12.xml"/><Relationship Id="rId14" Type="http://schemas.openxmlformats.org/officeDocument/2006/relationships/queryTable" Target="../queryTables/queryTable7.xml"/><Relationship Id="rId30" Type="http://schemas.openxmlformats.org/officeDocument/2006/relationships/queryTable" Target="../queryTables/queryTable23.xml"/><Relationship Id="rId35" Type="http://schemas.openxmlformats.org/officeDocument/2006/relationships/queryTable" Target="../queryTables/queryTable28.xml"/><Relationship Id="rId56" Type="http://schemas.openxmlformats.org/officeDocument/2006/relationships/queryTable" Target="../queryTables/queryTable49.xml"/><Relationship Id="rId77" Type="http://schemas.openxmlformats.org/officeDocument/2006/relationships/queryTable" Target="../queryTables/queryTable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6"/>
  <sheetViews>
    <sheetView zoomScaleNormal="100" workbookViewId="0">
      <selection activeCell="D25" sqref="D25"/>
    </sheetView>
  </sheetViews>
  <sheetFormatPr defaultRowHeight="15" x14ac:dyDescent="0.25"/>
  <cols>
    <col min="1" max="5" width="11.7109375" customWidth="1"/>
    <col min="6" max="6" width="14.28515625" customWidth="1"/>
    <col min="7" max="8" width="1.7109375" customWidth="1"/>
    <col min="9" max="10" width="12.5703125" bestFit="1" customWidth="1"/>
    <col min="11" max="12" width="1.7109375" customWidth="1"/>
    <col min="13" max="13" width="18.5703125" bestFit="1" customWidth="1"/>
    <col min="14" max="14" width="12.140625" customWidth="1"/>
    <col min="15" max="15" width="14.28515625" customWidth="1"/>
  </cols>
  <sheetData>
    <row r="1" spans="1:19" ht="60" x14ac:dyDescent="0.25">
      <c r="A1" s="4" t="s">
        <v>0</v>
      </c>
      <c r="B1" s="4" t="s">
        <v>17</v>
      </c>
      <c r="C1" s="4" t="s">
        <v>18</v>
      </c>
      <c r="D1" s="4" t="s">
        <v>1</v>
      </c>
      <c r="E1" s="4" t="s">
        <v>2</v>
      </c>
      <c r="F1" s="12" t="s">
        <v>16</v>
      </c>
      <c r="G1" s="16"/>
      <c r="H1" s="17"/>
      <c r="I1" s="6" t="s">
        <v>15</v>
      </c>
      <c r="J1" s="6" t="s">
        <v>14</v>
      </c>
      <c r="K1" s="17"/>
      <c r="L1" s="17"/>
      <c r="M1" s="14" t="s">
        <v>20</v>
      </c>
      <c r="N1" s="6" t="s">
        <v>19</v>
      </c>
      <c r="O1" s="6" t="s">
        <v>13</v>
      </c>
      <c r="Q1" s="3"/>
    </row>
    <row r="2" spans="1:19" x14ac:dyDescent="0.25">
      <c r="A2" s="5" t="s">
        <v>4</v>
      </c>
      <c r="B2" s="5">
        <v>5</v>
      </c>
      <c r="C2" s="5">
        <v>30</v>
      </c>
      <c r="D2" s="5">
        <v>623.39</v>
      </c>
      <c r="E2" s="5">
        <v>624.5</v>
      </c>
      <c r="F2" s="13">
        <f t="shared" ref="F2:F11" si="0">E2-D2</f>
        <v>1.1100000000000136</v>
      </c>
      <c r="G2" s="16"/>
      <c r="H2" s="18"/>
      <c r="I2" s="10">
        <f>IFERROR(ROUNDDOWN(($B$12*C2/100)/D2,0),0)</f>
        <v>481</v>
      </c>
      <c r="J2" s="10">
        <f>IFERROR(ROUNDUP((B2*$B$12/100)/D2,0),0)</f>
        <v>81</v>
      </c>
      <c r="K2" s="18"/>
      <c r="L2" s="19"/>
      <c r="M2" s="15">
        <v>81</v>
      </c>
      <c r="N2" s="8">
        <f t="shared" ref="N2:N11" si="1">M2*F2</f>
        <v>89.910000000001105</v>
      </c>
      <c r="O2" s="8">
        <f>M2*D2</f>
        <v>50494.59</v>
      </c>
      <c r="Q2" s="3"/>
      <c r="S2" s="1"/>
    </row>
    <row r="3" spans="1:19" x14ac:dyDescent="0.25">
      <c r="A3" s="5" t="s">
        <v>5</v>
      </c>
      <c r="B3" s="5">
        <v>20</v>
      </c>
      <c r="C3" s="5">
        <v>50</v>
      </c>
      <c r="D3" s="5">
        <v>5.72</v>
      </c>
      <c r="E3" s="5">
        <v>5.8</v>
      </c>
      <c r="F3" s="13">
        <f t="shared" si="0"/>
        <v>8.0000000000000071E-2</v>
      </c>
      <c r="G3" s="16"/>
      <c r="H3" s="18"/>
      <c r="I3" s="10">
        <f t="shared" ref="I3:I11" si="2">IFERROR(ROUNDDOWN(($B$12*C3/100)/D3,0),0)</f>
        <v>87412</v>
      </c>
      <c r="J3" s="10">
        <f t="shared" ref="J3:J11" si="3">IFERROR(ROUNDUP((B3*$B$12/100)/D3,0),0)</f>
        <v>34966</v>
      </c>
      <c r="K3" s="18"/>
      <c r="L3" s="19"/>
      <c r="M3" s="15">
        <v>45362</v>
      </c>
      <c r="N3" s="8">
        <f t="shared" si="1"/>
        <v>3628.9600000000032</v>
      </c>
      <c r="O3" s="8">
        <f t="shared" ref="O3" si="4">M3*D3</f>
        <v>259470.63999999998</v>
      </c>
      <c r="Q3" s="3"/>
      <c r="S3" s="1"/>
    </row>
    <row r="4" spans="1:19" x14ac:dyDescent="0.25">
      <c r="A4" s="5" t="s">
        <v>6</v>
      </c>
      <c r="B4" s="5">
        <v>5</v>
      </c>
      <c r="C4" s="5">
        <v>15</v>
      </c>
      <c r="D4" s="5">
        <v>25.66</v>
      </c>
      <c r="E4" s="5">
        <v>25.8</v>
      </c>
      <c r="F4" s="13">
        <f t="shared" si="0"/>
        <v>0.14000000000000057</v>
      </c>
      <c r="G4" s="16"/>
      <c r="H4" s="18"/>
      <c r="I4" s="10">
        <f t="shared" si="2"/>
        <v>5845</v>
      </c>
      <c r="J4" s="10">
        <f t="shared" si="3"/>
        <v>1949</v>
      </c>
      <c r="K4" s="18"/>
      <c r="L4" s="19"/>
      <c r="M4" s="15">
        <v>1949</v>
      </c>
      <c r="N4" s="8">
        <f t="shared" si="1"/>
        <v>272.86000000000109</v>
      </c>
      <c r="O4" s="8">
        <f>M4*D4</f>
        <v>50011.340000000004</v>
      </c>
      <c r="Q4" s="3"/>
      <c r="S4" s="1"/>
    </row>
    <row r="5" spans="1:19" x14ac:dyDescent="0.25">
      <c r="A5" s="5" t="s">
        <v>7</v>
      </c>
      <c r="B5" s="5">
        <v>30</v>
      </c>
      <c r="C5" s="5">
        <v>35</v>
      </c>
      <c r="D5" s="5">
        <v>21.94</v>
      </c>
      <c r="E5" s="5">
        <v>22.02</v>
      </c>
      <c r="F5" s="13">
        <f t="shared" si="0"/>
        <v>7.9999999999998295E-2</v>
      </c>
      <c r="G5" s="16"/>
      <c r="H5" s="18"/>
      <c r="I5" s="10">
        <f t="shared" si="2"/>
        <v>15952</v>
      </c>
      <c r="J5" s="10">
        <f t="shared" si="3"/>
        <v>13674</v>
      </c>
      <c r="K5" s="18"/>
      <c r="L5" s="19"/>
      <c r="M5" s="15">
        <v>13674</v>
      </c>
      <c r="N5" s="8">
        <f t="shared" si="1"/>
        <v>1093.9199999999767</v>
      </c>
      <c r="O5" s="8">
        <f t="shared" ref="O5:O11" si="5">M5*D5</f>
        <v>300007.56</v>
      </c>
      <c r="Q5" s="3"/>
      <c r="S5" s="1"/>
    </row>
    <row r="6" spans="1:19" x14ac:dyDescent="0.25">
      <c r="A6" s="5" t="s">
        <v>8</v>
      </c>
      <c r="B6" s="5">
        <v>12</v>
      </c>
      <c r="C6" s="5">
        <v>20</v>
      </c>
      <c r="D6" s="5">
        <v>15.62</v>
      </c>
      <c r="E6" s="5">
        <v>15.6</v>
      </c>
      <c r="F6" s="13">
        <f t="shared" si="0"/>
        <v>-1.9999999999999574E-2</v>
      </c>
      <c r="G6" s="16"/>
      <c r="H6" s="18"/>
      <c r="I6" s="10">
        <f t="shared" si="2"/>
        <v>12804</v>
      </c>
      <c r="J6" s="10">
        <f t="shared" si="3"/>
        <v>7683</v>
      </c>
      <c r="K6" s="18"/>
      <c r="L6" s="19"/>
      <c r="M6" s="15">
        <v>7683</v>
      </c>
      <c r="N6" s="8">
        <f t="shared" si="1"/>
        <v>-153.65999999999673</v>
      </c>
      <c r="O6" s="8">
        <f t="shared" si="5"/>
        <v>120008.45999999999</v>
      </c>
      <c r="Q6" s="3"/>
      <c r="S6" s="1"/>
    </row>
    <row r="7" spans="1:19" x14ac:dyDescent="0.25">
      <c r="A7" s="5" t="s">
        <v>9</v>
      </c>
      <c r="B7" s="5">
        <v>22</v>
      </c>
      <c r="C7" s="5">
        <v>50</v>
      </c>
      <c r="D7" s="5">
        <v>25.6</v>
      </c>
      <c r="E7" s="5">
        <v>25.58</v>
      </c>
      <c r="F7" s="13">
        <f t="shared" si="0"/>
        <v>-2.0000000000003126E-2</v>
      </c>
      <c r="G7" s="16"/>
      <c r="H7" s="18"/>
      <c r="I7" s="10">
        <f t="shared" si="2"/>
        <v>19531</v>
      </c>
      <c r="J7" s="10">
        <f t="shared" si="3"/>
        <v>8594</v>
      </c>
      <c r="K7" s="18"/>
      <c r="L7" s="19"/>
      <c r="M7" s="15">
        <v>8594</v>
      </c>
      <c r="N7" s="8">
        <f t="shared" si="1"/>
        <v>-171.88000000002688</v>
      </c>
      <c r="O7" s="8">
        <f t="shared" si="5"/>
        <v>220006.40000000002</v>
      </c>
      <c r="Q7" s="3"/>
      <c r="S7" s="1"/>
    </row>
    <row r="8" spans="1:19" x14ac:dyDescent="0.25">
      <c r="A8" s="5"/>
      <c r="B8" s="5">
        <v>0</v>
      </c>
      <c r="C8" s="5">
        <v>0</v>
      </c>
      <c r="D8" s="5">
        <v>0</v>
      </c>
      <c r="E8" s="5">
        <v>0</v>
      </c>
      <c r="F8" s="13">
        <f t="shared" si="0"/>
        <v>0</v>
      </c>
      <c r="G8" s="16"/>
      <c r="H8" s="18"/>
      <c r="I8" s="10">
        <f t="shared" si="2"/>
        <v>0</v>
      </c>
      <c r="J8" s="10">
        <f t="shared" si="3"/>
        <v>0</v>
      </c>
      <c r="K8" s="18"/>
      <c r="L8" s="19"/>
      <c r="M8" s="15">
        <v>0</v>
      </c>
      <c r="N8" s="8">
        <f t="shared" si="1"/>
        <v>0</v>
      </c>
      <c r="O8" s="8">
        <f t="shared" si="5"/>
        <v>0</v>
      </c>
      <c r="Q8" s="3"/>
    </row>
    <row r="9" spans="1:19" x14ac:dyDescent="0.25">
      <c r="A9" s="5"/>
      <c r="B9" s="5">
        <v>0</v>
      </c>
      <c r="C9" s="5">
        <v>0</v>
      </c>
      <c r="D9" s="5">
        <v>0</v>
      </c>
      <c r="E9" s="5">
        <v>0</v>
      </c>
      <c r="F9" s="13">
        <f t="shared" si="0"/>
        <v>0</v>
      </c>
      <c r="G9" s="16"/>
      <c r="H9" s="18"/>
      <c r="I9" s="10">
        <f t="shared" si="2"/>
        <v>0</v>
      </c>
      <c r="J9" s="10">
        <f t="shared" si="3"/>
        <v>0</v>
      </c>
      <c r="K9" s="18"/>
      <c r="L9" s="19"/>
      <c r="M9" s="15">
        <v>0</v>
      </c>
      <c r="N9" s="8">
        <f t="shared" si="1"/>
        <v>0</v>
      </c>
      <c r="O9" s="8">
        <f t="shared" si="5"/>
        <v>0</v>
      </c>
    </row>
    <row r="10" spans="1:19" x14ac:dyDescent="0.25">
      <c r="A10" s="5"/>
      <c r="B10" s="5">
        <v>0</v>
      </c>
      <c r="C10" s="5">
        <v>0</v>
      </c>
      <c r="D10" s="5">
        <v>0</v>
      </c>
      <c r="E10" s="5">
        <v>0</v>
      </c>
      <c r="F10" s="13">
        <f t="shared" si="0"/>
        <v>0</v>
      </c>
      <c r="G10" s="16"/>
      <c r="H10" s="18"/>
      <c r="I10" s="10">
        <f t="shared" si="2"/>
        <v>0</v>
      </c>
      <c r="J10" s="10">
        <f t="shared" si="3"/>
        <v>0</v>
      </c>
      <c r="K10" s="18"/>
      <c r="L10" s="19"/>
      <c r="M10" s="15">
        <v>0</v>
      </c>
      <c r="N10" s="8">
        <f t="shared" si="1"/>
        <v>0</v>
      </c>
      <c r="O10" s="8">
        <f t="shared" si="5"/>
        <v>0</v>
      </c>
    </row>
    <row r="11" spans="1:19" x14ac:dyDescent="0.25">
      <c r="A11" s="5"/>
      <c r="B11" s="5">
        <v>0</v>
      </c>
      <c r="C11" s="5">
        <v>0</v>
      </c>
      <c r="D11" s="5">
        <v>0</v>
      </c>
      <c r="E11" s="5">
        <v>0</v>
      </c>
      <c r="F11" s="13">
        <f t="shared" si="0"/>
        <v>0</v>
      </c>
      <c r="G11" s="16"/>
      <c r="H11" s="18"/>
      <c r="I11" s="10">
        <f t="shared" si="2"/>
        <v>0</v>
      </c>
      <c r="J11" s="10">
        <f t="shared" si="3"/>
        <v>0</v>
      </c>
      <c r="K11" s="18"/>
      <c r="L11" s="19"/>
      <c r="M11" s="15">
        <v>0</v>
      </c>
      <c r="N11" s="8">
        <f t="shared" si="1"/>
        <v>0</v>
      </c>
      <c r="O11" s="8">
        <f t="shared" si="5"/>
        <v>0</v>
      </c>
    </row>
    <row r="12" spans="1:19" s="7" customFormat="1" ht="33.75" customHeight="1" x14ac:dyDescent="0.25">
      <c r="A12" s="11"/>
      <c r="B12" s="26">
        <v>1000000</v>
      </c>
      <c r="C12" s="27"/>
      <c r="D12" s="27"/>
      <c r="E12" s="28" t="s">
        <v>3</v>
      </c>
      <c r="F12" s="28"/>
      <c r="G12" s="25"/>
      <c r="H12" s="25"/>
      <c r="I12" s="22">
        <f>SUM(I2:I11)</f>
        <v>142025</v>
      </c>
      <c r="J12" s="22">
        <f>SUM(J2:J11)</f>
        <v>66947</v>
      </c>
      <c r="K12" s="21"/>
      <c r="L12" s="20"/>
      <c r="M12" s="23">
        <f>SUM(M2:M11)</f>
        <v>77343</v>
      </c>
      <c r="N12" s="9">
        <f>SUM(N2:N11)</f>
        <v>4760.1099999999587</v>
      </c>
      <c r="O12" s="9">
        <f>SUM(O2:O11)</f>
        <v>999998.99</v>
      </c>
    </row>
    <row r="13" spans="1:19" ht="21" customHeight="1" x14ac:dyDescent="0.25"/>
    <row r="14" spans="1:19" ht="21" customHeight="1" x14ac:dyDescent="0.25"/>
    <row r="15" spans="1:19" ht="21" customHeight="1" x14ac:dyDescent="0.25"/>
    <row r="16" spans="1:19" ht="21" customHeight="1" x14ac:dyDescent="0.25"/>
  </sheetData>
  <mergeCells count="3">
    <mergeCell ref="G12:H12"/>
    <mergeCell ref="B12:D12"/>
    <mergeCell ref="E12:F1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allForm">
                <anchor moveWithCells="1" sizeWithCells="1">
                  <from>
                    <xdr:col>3</xdr:col>
                    <xdr:colOff>161925</xdr:colOff>
                    <xdr:row>13</xdr:row>
                    <xdr:rowOff>152400</xdr:rowOff>
                  </from>
                  <to>
                    <xdr:col>8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olverFromScratch">
                <anchor moveWithCells="1" sizeWithCells="1">
                  <from>
                    <xdr:col>8</xdr:col>
                    <xdr:colOff>342900</xdr:colOff>
                    <xdr:row>13</xdr:row>
                    <xdr:rowOff>142875</xdr:rowOff>
                  </from>
                  <to>
                    <xdr:col>12</xdr:col>
                    <xdr:colOff>266700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wordupload">
                <anchor moveWithCells="1" sizeWithCells="1">
                  <from>
                    <xdr:col>12</xdr:col>
                    <xdr:colOff>609600</xdr:colOff>
                    <xdr:row>13</xdr:row>
                    <xdr:rowOff>152400</xdr:rowOff>
                  </from>
                  <to>
                    <xdr:col>14</xdr:col>
                    <xdr:colOff>342900</xdr:colOff>
                    <xdr:row>16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252"/>
  <sheetViews>
    <sheetView tabSelected="1" topLeftCell="A237" zoomScale="124" zoomScaleNormal="124" workbookViewId="0">
      <selection activeCell="M237" sqref="M237"/>
    </sheetView>
  </sheetViews>
  <sheetFormatPr defaultRowHeight="15" x14ac:dyDescent="0.25"/>
  <cols>
    <col min="1" max="1" width="15.85546875" bestFit="1" customWidth="1"/>
    <col min="2" max="2" width="7.28515625" bestFit="1" customWidth="1"/>
    <col min="3" max="3" width="7.28515625" customWidth="1"/>
    <col min="4" max="4" width="9.5703125" customWidth="1"/>
    <col min="5" max="10" width="8.85546875" customWidth="1"/>
    <col min="11" max="12" width="12.42578125" bestFit="1" customWidth="1"/>
  </cols>
  <sheetData>
    <row r="1" spans="1:12" ht="16.5" customHeight="1" x14ac:dyDescent="0.25">
      <c r="A1" t="s">
        <v>12</v>
      </c>
      <c r="B1" t="s">
        <v>4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30</v>
      </c>
    </row>
    <row r="2" spans="1:12" x14ac:dyDescent="0.25">
      <c r="A2" t="s">
        <v>10</v>
      </c>
      <c r="B2" t="s">
        <v>21</v>
      </c>
      <c r="C2" t="s">
        <v>11</v>
      </c>
      <c r="E2">
        <v>6.1829907029498048E-7</v>
      </c>
      <c r="F2">
        <v>8.6739743551787135E-7</v>
      </c>
      <c r="G2">
        <v>7.1035602971174583E-9</v>
      </c>
      <c r="H2">
        <v>0.18392951724303269</v>
      </c>
      <c r="I2">
        <v>1.3903397057039587E-7</v>
      </c>
      <c r="J2">
        <v>0.23953466346891428</v>
      </c>
      <c r="K2">
        <f>SUM(L:L)</f>
        <v>60874.284315779725</v>
      </c>
    </row>
    <row r="3" spans="1:12" x14ac:dyDescent="0.25">
      <c r="A3" s="2">
        <v>42052</v>
      </c>
      <c r="B3">
        <v>546.83000000000004</v>
      </c>
      <c r="C3">
        <v>542.84</v>
      </c>
      <c r="D3" s="2"/>
      <c r="E3">
        <v>6.260287499171476E-7</v>
      </c>
      <c r="F3">
        <v>0</v>
      </c>
      <c r="G3">
        <v>0.65448537628816439</v>
      </c>
      <c r="H3">
        <v>4.9839787624499715E-9</v>
      </c>
      <c r="I3">
        <v>1.6993468409357195E-7</v>
      </c>
      <c r="J3">
        <v>2.5251530004591839E-2</v>
      </c>
      <c r="K3">
        <f>MAX(L:L)</f>
        <v>12002.253974237943</v>
      </c>
    </row>
    <row r="4" spans="1:12" x14ac:dyDescent="0.25">
      <c r="A4" s="2">
        <v>42053</v>
      </c>
      <c r="B4">
        <v>541.4</v>
      </c>
      <c r="C4">
        <v>539.70000000000005</v>
      </c>
      <c r="D4" s="2"/>
      <c r="E4">
        <v>0.15496116844374225</v>
      </c>
      <c r="F4">
        <v>0.32721795504561735</v>
      </c>
      <c r="G4">
        <v>0.47597538142359086</v>
      </c>
      <c r="H4">
        <v>1.0249652283833877</v>
      </c>
      <c r="I4">
        <v>0.46930123146311403</v>
      </c>
      <c r="J4">
        <v>0</v>
      </c>
    </row>
    <row r="5" spans="1:12" x14ac:dyDescent="0.25">
      <c r="A5" s="2">
        <v>42054</v>
      </c>
      <c r="B5">
        <v>538.04</v>
      </c>
      <c r="C5">
        <v>542.87</v>
      </c>
      <c r="D5" s="2"/>
      <c r="E5">
        <v>0.53585856644057517</v>
      </c>
      <c r="F5">
        <v>1.226823601321698</v>
      </c>
      <c r="G5">
        <v>2.3977549158241818</v>
      </c>
      <c r="H5">
        <v>1.4518981825367274</v>
      </c>
      <c r="I5">
        <v>1.1372127362664468</v>
      </c>
      <c r="J5">
        <v>0</v>
      </c>
    </row>
    <row r="6" spans="1:12" x14ac:dyDescent="0.25">
      <c r="A6" s="2">
        <v>42055</v>
      </c>
      <c r="B6">
        <v>543.13</v>
      </c>
      <c r="C6">
        <v>538.95000000000005</v>
      </c>
      <c r="D6" s="2"/>
      <c r="E6">
        <v>2.5303892664364067</v>
      </c>
      <c r="F6">
        <v>3.1302992280748656</v>
      </c>
      <c r="G6">
        <v>2.3342857211495396</v>
      </c>
      <c r="H6">
        <v>3.0229637077550877</v>
      </c>
      <c r="I6">
        <v>3.0443882916157756</v>
      </c>
      <c r="J6">
        <v>2.3318203298352842E-2</v>
      </c>
    </row>
    <row r="7" spans="1:12" x14ac:dyDescent="0.25">
      <c r="A7" s="2">
        <v>42058</v>
      </c>
      <c r="B7">
        <v>536.04999999999995</v>
      </c>
      <c r="C7">
        <v>531.91</v>
      </c>
      <c r="D7" s="2"/>
      <c r="E7">
        <v>1.1743333827217844E-9</v>
      </c>
      <c r="F7">
        <v>0.69623525754089233</v>
      </c>
      <c r="G7">
        <v>9.7996622641394667E-12</v>
      </c>
      <c r="H7">
        <v>9.3343348907568721E-12</v>
      </c>
      <c r="I7">
        <v>0.78209687572158471</v>
      </c>
      <c r="J7">
        <v>1.1252405857919878</v>
      </c>
    </row>
    <row r="8" spans="1:12" x14ac:dyDescent="0.25">
      <c r="A8" s="2">
        <v>42059</v>
      </c>
      <c r="B8">
        <v>530</v>
      </c>
      <c r="C8">
        <v>536.09</v>
      </c>
      <c r="D8" s="2"/>
    </row>
    <row r="9" spans="1:12" x14ac:dyDescent="0.25">
      <c r="A9" s="2">
        <v>42060</v>
      </c>
      <c r="B9">
        <v>535.9</v>
      </c>
      <c r="C9">
        <v>543.87</v>
      </c>
      <c r="D9" s="2"/>
      <c r="E9" t="s">
        <v>22</v>
      </c>
      <c r="F9" t="s">
        <v>23</v>
      </c>
      <c r="G9" t="s">
        <v>24</v>
      </c>
      <c r="H9" t="s">
        <v>25</v>
      </c>
      <c r="I9" t="s">
        <v>26</v>
      </c>
      <c r="J9" t="s">
        <v>27</v>
      </c>
      <c r="K9" t="s">
        <v>28</v>
      </c>
      <c r="L9" t="s">
        <v>29</v>
      </c>
    </row>
    <row r="10" spans="1:12" x14ac:dyDescent="0.25">
      <c r="A10" s="2">
        <v>42061</v>
      </c>
      <c r="B10">
        <v>543.21</v>
      </c>
      <c r="C10">
        <v>555.48</v>
      </c>
      <c r="D10" s="2"/>
      <c r="E10">
        <f>SUMPRODUCT($E$2:$E$6,B3:B7)+$E$7</f>
        <v>1730.8320135711965</v>
      </c>
      <c r="F10">
        <f>SUMPRODUCT($F$2:$F$6,B3:B7)+$F$7</f>
        <v>2521.0746619046104</v>
      </c>
      <c r="G10">
        <f>SUMPRODUCT($G$2:$G$6,B3:B7)+$G$7</f>
        <v>3164.0186690818091</v>
      </c>
      <c r="H10">
        <f>SUMPRODUCT($H$2:$H$6,B3:B7)+$H$7</f>
        <v>3061.0796275150283</v>
      </c>
      <c r="I10">
        <f>SUMPRODUCT($I$2:$I$6,B3:B7)+$I$7</f>
        <v>2502.8837966517513</v>
      </c>
      <c r="J10">
        <f>$J$2*E10+$J$3*F10+$J$4*G10+$J$5*H10+$J$6*I10+$J$7</f>
        <v>537.74325014917099</v>
      </c>
      <c r="K10">
        <f>$J10-C8</f>
        <v>1.6532501491709581</v>
      </c>
      <c r="L10">
        <f>K10^2</f>
        <v>2.7332360557337951</v>
      </c>
    </row>
    <row r="11" spans="1:12" x14ac:dyDescent="0.25">
      <c r="A11" s="2">
        <v>42062</v>
      </c>
      <c r="B11">
        <v>554.24</v>
      </c>
      <c r="C11">
        <v>558.4</v>
      </c>
      <c r="D11" s="2"/>
      <c r="E11">
        <f t="shared" ref="E11:E74" si="0">SUMPRODUCT($E$2:$E$6,B4:B8)+$E$7</f>
        <v>1712.5180267454152</v>
      </c>
      <c r="F11">
        <f t="shared" ref="F11:F74" si="1">SUMPRODUCT($F$2:$F$6,B4:B8)+$F$7</f>
        <v>2495.1159751586138</v>
      </c>
      <c r="G11">
        <f t="shared" ref="G11:G74" si="2">SUMPRODUCT($G$2:$G$6,B4:B8)+$G$7</f>
        <v>3133.1437794533649</v>
      </c>
      <c r="H11">
        <f t="shared" ref="H11:H74" si="3">SUMPRODUCT($H$2:$H$6,B4:B8)+$H$7</f>
        <v>3036.7295936678461</v>
      </c>
      <c r="I11">
        <f t="shared" ref="I11:I74" si="4">SUMPRODUCT($I$2:$I$6,B4:B8)+$I$7</f>
        <v>2478.8025232569216</v>
      </c>
      <c r="J11">
        <f t="shared" ref="J11:J74" si="5">$J$2*E11+$J$3*F11+$J$4*G11+$J$5*H11+$J$6*I11+$J$7</f>
        <v>532.13938689213319</v>
      </c>
      <c r="K11">
        <f t="shared" ref="K11:K74" si="6">$J11-C9</f>
        <v>-11.730613107866816</v>
      </c>
      <c r="L11">
        <f t="shared" ref="L11:L74" si="7">K11^2</f>
        <v>137.60728388645677</v>
      </c>
    </row>
    <row r="12" spans="1:12" x14ac:dyDescent="0.25">
      <c r="A12" s="2">
        <v>42065</v>
      </c>
      <c r="B12">
        <v>560.53</v>
      </c>
      <c r="C12">
        <v>571.34</v>
      </c>
      <c r="D12" s="2"/>
      <c r="E12">
        <f t="shared" si="0"/>
        <v>1723.1082551268444</v>
      </c>
      <c r="F12">
        <f t="shared" si="1"/>
        <v>2503.8457517800807</v>
      </c>
      <c r="G12">
        <f t="shared" si="2"/>
        <v>3132.3710728083706</v>
      </c>
      <c r="H12">
        <f t="shared" si="3"/>
        <v>3037.9063385697314</v>
      </c>
      <c r="I12">
        <f t="shared" si="4"/>
        <v>2486.561624802097</v>
      </c>
      <c r="J12">
        <f t="shared" si="5"/>
        <v>535.07748220707106</v>
      </c>
      <c r="K12">
        <f t="shared" si="6"/>
        <v>-20.402517792928961</v>
      </c>
      <c r="L12">
        <f t="shared" si="7"/>
        <v>416.26273229078282</v>
      </c>
    </row>
    <row r="13" spans="1:12" x14ac:dyDescent="0.25">
      <c r="A13" s="2">
        <v>42066</v>
      </c>
      <c r="B13">
        <v>570.45000000000005</v>
      </c>
      <c r="C13">
        <v>573.64</v>
      </c>
      <c r="D13" s="2"/>
      <c r="E13">
        <f t="shared" si="0"/>
        <v>1743.829449852268</v>
      </c>
      <c r="F13">
        <f t="shared" si="1"/>
        <v>2531.9868341721331</v>
      </c>
      <c r="G13">
        <f t="shared" si="2"/>
        <v>3156.0680479477605</v>
      </c>
      <c r="H13">
        <f t="shared" si="3"/>
        <v>3063.3055641261485</v>
      </c>
      <c r="I13">
        <f t="shared" si="4"/>
        <v>2512.6863854119738</v>
      </c>
      <c r="J13">
        <f t="shared" si="5"/>
        <v>541.36071447770576</v>
      </c>
      <c r="K13">
        <f t="shared" si="6"/>
        <v>-17.039285522294222</v>
      </c>
      <c r="L13">
        <f t="shared" si="7"/>
        <v>290.33725111026547</v>
      </c>
    </row>
    <row r="14" spans="1:12" x14ac:dyDescent="0.25">
      <c r="A14" s="2">
        <v>42067</v>
      </c>
      <c r="B14">
        <v>571.87</v>
      </c>
      <c r="C14">
        <v>573.37</v>
      </c>
      <c r="D14" s="2"/>
      <c r="E14">
        <f t="shared" si="0"/>
        <v>1776.5710323105288</v>
      </c>
      <c r="F14">
        <f t="shared" si="1"/>
        <v>2577.4126949770557</v>
      </c>
      <c r="G14">
        <f t="shared" si="2"/>
        <v>3198.1914260602775</v>
      </c>
      <c r="H14">
        <f t="shared" si="3"/>
        <v>3112.0073033722588</v>
      </c>
      <c r="I14">
        <f t="shared" si="4"/>
        <v>2557.3478886237708</v>
      </c>
      <c r="J14">
        <f t="shared" si="5"/>
        <v>551.39195691188763</v>
      </c>
      <c r="K14">
        <f t="shared" si="6"/>
        <v>-19.948043088112399</v>
      </c>
      <c r="L14">
        <f t="shared" si="7"/>
        <v>397.92442304518886</v>
      </c>
    </row>
    <row r="15" spans="1:12" x14ac:dyDescent="0.25">
      <c r="A15" s="2">
        <v>42068</v>
      </c>
      <c r="B15">
        <v>575.02</v>
      </c>
      <c r="C15">
        <v>575.33000000000004</v>
      </c>
      <c r="D15" s="2"/>
      <c r="E15">
        <f t="shared" si="0"/>
        <v>1799.5304668784372</v>
      </c>
      <c r="F15">
        <f t="shared" si="1"/>
        <v>2613.026099447854</v>
      </c>
      <c r="G15">
        <f t="shared" si="2"/>
        <v>3246.6621636831787</v>
      </c>
      <c r="H15">
        <f t="shared" si="3"/>
        <v>3153.4159043169861</v>
      </c>
      <c r="I15">
        <f t="shared" si="4"/>
        <v>2592.4711396225075</v>
      </c>
      <c r="J15">
        <f t="shared" si="5"/>
        <v>558.60984140339576</v>
      </c>
      <c r="K15">
        <f t="shared" si="6"/>
        <v>-15.030158596604224</v>
      </c>
      <c r="L15">
        <f t="shared" si="7"/>
        <v>225.90566743907584</v>
      </c>
    </row>
    <row r="16" spans="1:12" x14ac:dyDescent="0.25">
      <c r="A16" s="2">
        <v>42069</v>
      </c>
      <c r="B16">
        <v>574.88</v>
      </c>
      <c r="C16">
        <v>567.67999999999995</v>
      </c>
      <c r="D16" s="2"/>
      <c r="E16">
        <f t="shared" si="0"/>
        <v>1829.711708696567</v>
      </c>
      <c r="F16">
        <f t="shared" si="1"/>
        <v>2655.4046074044682</v>
      </c>
      <c r="G16">
        <f t="shared" si="2"/>
        <v>3294.9344530571962</v>
      </c>
      <c r="H16">
        <f t="shared" si="3"/>
        <v>3204.926694523308</v>
      </c>
      <c r="I16">
        <f t="shared" si="4"/>
        <v>2635.0009342320132</v>
      </c>
      <c r="J16">
        <f t="shared" si="5"/>
        <v>567.9011355675334</v>
      </c>
      <c r="K16">
        <f t="shared" si="6"/>
        <v>-5.4688644324666029</v>
      </c>
      <c r="L16">
        <f t="shared" si="7"/>
        <v>29.90847818069826</v>
      </c>
    </row>
    <row r="17" spans="1:12" x14ac:dyDescent="0.25">
      <c r="A17" s="2">
        <v>42072</v>
      </c>
      <c r="B17">
        <v>566.86</v>
      </c>
      <c r="C17">
        <v>568.85</v>
      </c>
      <c r="D17" s="2"/>
      <c r="E17">
        <f t="shared" si="0"/>
        <v>1839.5952956083718</v>
      </c>
      <c r="F17">
        <f t="shared" si="1"/>
        <v>2674.0779297113577</v>
      </c>
      <c r="G17">
        <f t="shared" si="2"/>
        <v>3332.2477264477443</v>
      </c>
      <c r="H17">
        <f t="shared" si="3"/>
        <v>3231.4136890716363</v>
      </c>
      <c r="I17">
        <f t="shared" si="4"/>
        <v>2653.5570235864916</v>
      </c>
      <c r="J17">
        <f t="shared" si="5"/>
        <v>571.17282185482622</v>
      </c>
      <c r="K17">
        <f t="shared" si="6"/>
        <v>-4.1571781451738161</v>
      </c>
      <c r="L17">
        <f t="shared" si="7"/>
        <v>17.282130130710811</v>
      </c>
    </row>
    <row r="18" spans="1:12" x14ac:dyDescent="0.25">
      <c r="A18" s="2">
        <v>42073</v>
      </c>
      <c r="B18">
        <v>564.25</v>
      </c>
      <c r="C18">
        <v>555.01</v>
      </c>
      <c r="D18" s="2"/>
      <c r="E18">
        <f t="shared" si="0"/>
        <v>1849.8641665105133</v>
      </c>
      <c r="F18">
        <f t="shared" si="1"/>
        <v>2688.9264734751168</v>
      </c>
      <c r="G18">
        <f t="shared" si="2"/>
        <v>3351.8439273287627</v>
      </c>
      <c r="H18">
        <f t="shared" si="3"/>
        <v>3255.1941178423699</v>
      </c>
      <c r="I18">
        <f t="shared" si="4"/>
        <v>2669.4171596091273</v>
      </c>
      <c r="J18">
        <f t="shared" si="5"/>
        <v>574.37735071506677</v>
      </c>
      <c r="K18">
        <f t="shared" si="6"/>
        <v>6.6973507150668183</v>
      </c>
      <c r="L18">
        <f t="shared" si="7"/>
        <v>44.854506600606022</v>
      </c>
    </row>
    <row r="19" spans="1:12" x14ac:dyDescent="0.25">
      <c r="A19" s="2">
        <v>42074</v>
      </c>
      <c r="B19">
        <v>555.14</v>
      </c>
      <c r="C19">
        <v>551.17999999999995</v>
      </c>
      <c r="D19" s="2"/>
      <c r="E19">
        <f t="shared" si="0"/>
        <v>1851.4179214559965</v>
      </c>
      <c r="F19">
        <f t="shared" si="1"/>
        <v>2692.817380879444</v>
      </c>
      <c r="G19">
        <f t="shared" si="2"/>
        <v>3366.2384353317293</v>
      </c>
      <c r="H19">
        <f t="shared" si="3"/>
        <v>3261.956749535479</v>
      </c>
      <c r="I19">
        <f t="shared" si="4"/>
        <v>2673.2395756764936</v>
      </c>
      <c r="J19">
        <f t="shared" si="5"/>
        <v>574.93691212306157</v>
      </c>
      <c r="K19">
        <f t="shared" si="6"/>
        <v>6.0869121230615519</v>
      </c>
      <c r="L19">
        <f t="shared" si="7"/>
        <v>37.050499193873691</v>
      </c>
    </row>
    <row r="20" spans="1:12" x14ac:dyDescent="0.25">
      <c r="A20" s="2">
        <v>42075</v>
      </c>
      <c r="B20">
        <v>553.51</v>
      </c>
      <c r="C20">
        <v>555.51</v>
      </c>
      <c r="D20" s="2"/>
      <c r="E20">
        <f t="shared" si="0"/>
        <v>1831.5373140429604</v>
      </c>
      <c r="F20">
        <f t="shared" si="1"/>
        <v>2668.5713709290749</v>
      </c>
      <c r="G20">
        <f t="shared" si="2"/>
        <v>3349.6104699161756</v>
      </c>
      <c r="H20">
        <f t="shared" si="3"/>
        <v>3242.562536141264</v>
      </c>
      <c r="I20">
        <f t="shared" si="4"/>
        <v>2650.1426722942915</v>
      </c>
      <c r="J20">
        <f t="shared" si="5"/>
        <v>569.0239903804403</v>
      </c>
      <c r="K20">
        <f t="shared" si="6"/>
        <v>14.013990380440305</v>
      </c>
      <c r="L20">
        <f t="shared" si="7"/>
        <v>196.39192638307341</v>
      </c>
    </row>
    <row r="21" spans="1:12" x14ac:dyDescent="0.25">
      <c r="A21" s="2">
        <v>42076</v>
      </c>
      <c r="B21">
        <v>553.5</v>
      </c>
      <c r="C21">
        <v>547.32000000000005</v>
      </c>
      <c r="D21" s="2"/>
      <c r="E21">
        <f t="shared" si="0"/>
        <v>1820.6137206411011</v>
      </c>
      <c r="F21">
        <f t="shared" si="1"/>
        <v>2650.5163553791976</v>
      </c>
      <c r="G21">
        <f t="shared" si="2"/>
        <v>3326.2829821510604</v>
      </c>
      <c r="H21">
        <f t="shared" si="3"/>
        <v>3223.1460622382897</v>
      </c>
      <c r="I21">
        <f t="shared" si="4"/>
        <v>2633.0106712686347</v>
      </c>
      <c r="J21">
        <f t="shared" si="5"/>
        <v>565.55200686133981</v>
      </c>
      <c r="K21">
        <f t="shared" si="6"/>
        <v>14.372006861339855</v>
      </c>
      <c r="L21">
        <f t="shared" si="7"/>
        <v>206.55458122239989</v>
      </c>
    </row>
    <row r="22" spans="1:12" x14ac:dyDescent="0.25">
      <c r="A22" s="2">
        <v>42079</v>
      </c>
      <c r="B22">
        <v>550.95000000000005</v>
      </c>
      <c r="C22">
        <v>554.51</v>
      </c>
      <c r="D22" s="2"/>
      <c r="E22">
        <f t="shared" si="0"/>
        <v>1794.9204968545348</v>
      </c>
      <c r="F22">
        <f t="shared" si="1"/>
        <v>2616.1730345448223</v>
      </c>
      <c r="G22">
        <f t="shared" si="2"/>
        <v>3294.8505484117659</v>
      </c>
      <c r="H22">
        <f t="shared" si="3"/>
        <v>3184.1765654512033</v>
      </c>
      <c r="I22">
        <f t="shared" si="4"/>
        <v>2598.5443732281915</v>
      </c>
      <c r="J22">
        <f t="shared" si="5"/>
        <v>557.72667560703792</v>
      </c>
      <c r="K22">
        <f t="shared" si="6"/>
        <v>2.2166756070379279</v>
      </c>
      <c r="L22">
        <f t="shared" si="7"/>
        <v>4.9136507468369661</v>
      </c>
    </row>
    <row r="23" spans="1:12" x14ac:dyDescent="0.25">
      <c r="A23" s="2">
        <v>42080</v>
      </c>
      <c r="B23">
        <v>551.71</v>
      </c>
      <c r="C23">
        <v>550.84</v>
      </c>
      <c r="D23" s="2"/>
      <c r="E23">
        <f t="shared" si="0"/>
        <v>1785.5098370530188</v>
      </c>
      <c r="F23">
        <f t="shared" si="1"/>
        <v>2599.0402448109144</v>
      </c>
      <c r="G23">
        <f t="shared" si="2"/>
        <v>3262.7108469387922</v>
      </c>
      <c r="H23">
        <f t="shared" si="3"/>
        <v>3163.321432746186</v>
      </c>
      <c r="I23">
        <f t="shared" si="4"/>
        <v>2581.9971346890106</v>
      </c>
      <c r="J23">
        <f t="shared" si="5"/>
        <v>554.65401535215017</v>
      </c>
      <c r="K23">
        <f t="shared" si="6"/>
        <v>7.3340153521501179</v>
      </c>
      <c r="L23">
        <f t="shared" si="7"/>
        <v>53.787781185573621</v>
      </c>
    </row>
    <row r="24" spans="1:12" x14ac:dyDescent="0.25">
      <c r="A24" s="2">
        <v>42081</v>
      </c>
      <c r="B24">
        <v>552.5</v>
      </c>
      <c r="C24">
        <v>559.5</v>
      </c>
      <c r="D24" s="2"/>
      <c r="E24">
        <f t="shared" si="0"/>
        <v>1783.1993808598404</v>
      </c>
      <c r="F24">
        <f t="shared" si="1"/>
        <v>2594.0282568214866</v>
      </c>
      <c r="G24">
        <f t="shared" si="2"/>
        <v>3252.7348209549364</v>
      </c>
      <c r="H24">
        <f t="shared" si="3"/>
        <v>3150.1120610997036</v>
      </c>
      <c r="I24">
        <f t="shared" si="4"/>
        <v>2575.8376982687696</v>
      </c>
      <c r="J24">
        <f t="shared" si="5"/>
        <v>553.83039364970944</v>
      </c>
      <c r="K24">
        <f t="shared" si="6"/>
        <v>-0.67960635029055538</v>
      </c>
      <c r="L24">
        <f t="shared" si="7"/>
        <v>0.46186479135524905</v>
      </c>
    </row>
    <row r="25" spans="1:12" x14ac:dyDescent="0.25">
      <c r="A25" s="2">
        <v>42082</v>
      </c>
      <c r="B25">
        <v>559.39</v>
      </c>
      <c r="C25">
        <v>557.99</v>
      </c>
      <c r="D25" s="2"/>
      <c r="E25">
        <f t="shared" si="0"/>
        <v>1776.4889356233177</v>
      </c>
      <c r="F25">
        <f t="shared" si="1"/>
        <v>2585.5003580232506</v>
      </c>
      <c r="G25">
        <f t="shared" si="2"/>
        <v>3240.0202131486008</v>
      </c>
      <c r="H25">
        <f t="shared" si="3"/>
        <v>3140.23823525543</v>
      </c>
      <c r="I25">
        <f t="shared" si="4"/>
        <v>2567.2981730795182</v>
      </c>
      <c r="J25">
        <f t="shared" si="5"/>
        <v>551.80854053143821</v>
      </c>
      <c r="K25">
        <f t="shared" si="6"/>
        <v>0.96854053143817964</v>
      </c>
      <c r="L25">
        <f t="shared" si="7"/>
        <v>0.93807076103855147</v>
      </c>
    </row>
    <row r="26" spans="1:12" x14ac:dyDescent="0.25">
      <c r="A26" s="2">
        <v>42083</v>
      </c>
      <c r="B26">
        <v>561.65</v>
      </c>
      <c r="C26">
        <v>560.36</v>
      </c>
      <c r="D26" s="2"/>
      <c r="E26">
        <f t="shared" si="0"/>
        <v>1777.04403585657</v>
      </c>
      <c r="F26">
        <f t="shared" si="1"/>
        <v>2584.747705171676</v>
      </c>
      <c r="G26">
        <f t="shared" si="2"/>
        <v>3234.6084242794459</v>
      </c>
      <c r="H26">
        <f t="shared" si="3"/>
        <v>3137.1474997453633</v>
      </c>
      <c r="I26">
        <f t="shared" si="4"/>
        <v>2566.7073211477591</v>
      </c>
      <c r="J26">
        <f t="shared" si="5"/>
        <v>551.90872303747324</v>
      </c>
      <c r="K26">
        <f t="shared" si="6"/>
        <v>-7.5912769625267629</v>
      </c>
      <c r="L26">
        <f t="shared" si="7"/>
        <v>57.627485921789557</v>
      </c>
    </row>
    <row r="27" spans="1:12" x14ac:dyDescent="0.25">
      <c r="A27" s="2">
        <v>42086</v>
      </c>
      <c r="B27">
        <v>560.42999999999995</v>
      </c>
      <c r="C27">
        <v>558.80999999999995</v>
      </c>
      <c r="D27" s="2"/>
      <c r="E27">
        <f t="shared" si="0"/>
        <v>1779.0551438939303</v>
      </c>
      <c r="F27">
        <f t="shared" si="1"/>
        <v>2587.3186202996358</v>
      </c>
      <c r="G27">
        <f t="shared" si="2"/>
        <v>3237.0545216472083</v>
      </c>
      <c r="H27">
        <f t="shared" si="3"/>
        <v>3137.7256172476841</v>
      </c>
      <c r="I27">
        <f t="shared" si="4"/>
        <v>2568.7799512091424</v>
      </c>
      <c r="J27">
        <f t="shared" si="5"/>
        <v>552.50370267402855</v>
      </c>
      <c r="K27">
        <f t="shared" si="6"/>
        <v>-5.4862973259714636</v>
      </c>
      <c r="L27">
        <f t="shared" si="7"/>
        <v>30.099458348961633</v>
      </c>
    </row>
    <row r="28" spans="1:12" x14ac:dyDescent="0.25">
      <c r="A28" s="2">
        <v>42087</v>
      </c>
      <c r="B28">
        <v>562.55999999999995</v>
      </c>
      <c r="C28">
        <v>570.19000000000005</v>
      </c>
      <c r="D28" s="2"/>
      <c r="E28">
        <f t="shared" si="0"/>
        <v>1797.030623092626</v>
      </c>
      <c r="F28">
        <f t="shared" si="1"/>
        <v>2610.1042582632763</v>
      </c>
      <c r="G28">
        <f t="shared" si="2"/>
        <v>3253.7247802297052</v>
      </c>
      <c r="H28">
        <f t="shared" si="3"/>
        <v>3160.4779710240105</v>
      </c>
      <c r="I28">
        <f t="shared" si="4"/>
        <v>2591.0108531012138</v>
      </c>
      <c r="J28">
        <f t="shared" si="5"/>
        <v>557.90320994511831</v>
      </c>
      <c r="K28">
        <f t="shared" si="6"/>
        <v>-2.4567900548817079</v>
      </c>
      <c r="L28">
        <f t="shared" si="7"/>
        <v>6.0358173737656653</v>
      </c>
    </row>
    <row r="29" spans="1:12" x14ac:dyDescent="0.25">
      <c r="A29" s="2">
        <v>42088</v>
      </c>
      <c r="B29">
        <v>570.5</v>
      </c>
      <c r="C29">
        <v>558.78</v>
      </c>
      <c r="D29" s="2"/>
      <c r="E29">
        <f t="shared" si="0"/>
        <v>1806.5637865797373</v>
      </c>
      <c r="F29">
        <f t="shared" si="1"/>
        <v>2625.8900491044546</v>
      </c>
      <c r="G29">
        <f t="shared" si="2"/>
        <v>3276.3942267487218</v>
      </c>
      <c r="H29">
        <f t="shared" si="3"/>
        <v>3177.6541497464559</v>
      </c>
      <c r="I29">
        <f t="shared" si="4"/>
        <v>2606.0973141406107</v>
      </c>
      <c r="J29">
        <f t="shared" si="5"/>
        <v>560.93713758943909</v>
      </c>
      <c r="K29">
        <f t="shared" si="6"/>
        <v>2.127137589439144</v>
      </c>
      <c r="L29">
        <f t="shared" si="7"/>
        <v>4.5247143244049726</v>
      </c>
    </row>
    <row r="30" spans="1:12" x14ac:dyDescent="0.25">
      <c r="A30" s="2">
        <v>42089</v>
      </c>
      <c r="B30">
        <v>557.59</v>
      </c>
      <c r="C30">
        <v>555.16999999999996</v>
      </c>
      <c r="D30" s="2"/>
      <c r="E30">
        <f t="shared" si="0"/>
        <v>1805.755435449888</v>
      </c>
      <c r="F30">
        <f t="shared" si="1"/>
        <v>2627.0982377546766</v>
      </c>
      <c r="G30">
        <f t="shared" si="2"/>
        <v>3282.7618381093562</v>
      </c>
      <c r="H30">
        <f t="shared" si="3"/>
        <v>3184.4492207761309</v>
      </c>
      <c r="I30">
        <f t="shared" si="4"/>
        <v>2608.1867469334966</v>
      </c>
      <c r="J30">
        <f t="shared" si="5"/>
        <v>560.82273990418105</v>
      </c>
      <c r="K30">
        <f t="shared" si="6"/>
        <v>-9.367260095819006</v>
      </c>
      <c r="L30">
        <f t="shared" si="7"/>
        <v>87.745561702723094</v>
      </c>
    </row>
    <row r="31" spans="1:12" x14ac:dyDescent="0.25">
      <c r="A31" s="2">
        <v>42090</v>
      </c>
      <c r="B31">
        <v>553</v>
      </c>
      <c r="C31">
        <v>548.34</v>
      </c>
      <c r="D31" s="2"/>
      <c r="E31">
        <f t="shared" si="0"/>
        <v>1810.8416341788172</v>
      </c>
      <c r="F31">
        <f t="shared" si="1"/>
        <v>2633.0085635805103</v>
      </c>
      <c r="G31">
        <f t="shared" si="2"/>
        <v>3290.393714308354</v>
      </c>
      <c r="H31">
        <f t="shared" si="3"/>
        <v>3191.5785434600625</v>
      </c>
      <c r="I31">
        <f t="shared" si="4"/>
        <v>2614.3445165201865</v>
      </c>
      <c r="J31">
        <f t="shared" si="5"/>
        <v>562.33389369806582</v>
      </c>
      <c r="K31">
        <f t="shared" si="6"/>
        <v>3.5538936980658491</v>
      </c>
      <c r="L31">
        <f t="shared" si="7"/>
        <v>12.630160417152156</v>
      </c>
    </row>
    <row r="32" spans="1:12" x14ac:dyDescent="0.25">
      <c r="A32" s="2">
        <v>42093</v>
      </c>
      <c r="B32">
        <v>551.62</v>
      </c>
      <c r="C32">
        <v>552.03</v>
      </c>
      <c r="D32" s="2"/>
      <c r="E32">
        <f t="shared" si="0"/>
        <v>1831.8852567502452</v>
      </c>
      <c r="F32">
        <f t="shared" si="1"/>
        <v>2660.0770737934527</v>
      </c>
      <c r="G32">
        <f t="shared" si="2"/>
        <v>3314.933607939005</v>
      </c>
      <c r="H32">
        <f t="shared" si="3"/>
        <v>3218.690235234882</v>
      </c>
      <c r="I32">
        <f t="shared" si="4"/>
        <v>2640.3666765234748</v>
      </c>
      <c r="J32">
        <f t="shared" si="5"/>
        <v>568.66488206392046</v>
      </c>
      <c r="K32">
        <f t="shared" si="6"/>
        <v>13.4948820639205</v>
      </c>
      <c r="L32">
        <f t="shared" si="7"/>
        <v>182.11184191912321</v>
      </c>
    </row>
    <row r="33" spans="1:12" x14ac:dyDescent="0.25">
      <c r="A33" s="2">
        <v>42094</v>
      </c>
      <c r="B33">
        <v>550</v>
      </c>
      <c r="C33">
        <v>548</v>
      </c>
      <c r="D33" s="2"/>
      <c r="E33">
        <f t="shared" si="0"/>
        <v>1803.8027162604753</v>
      </c>
      <c r="F33">
        <f t="shared" si="1"/>
        <v>2630.1028663580664</v>
      </c>
      <c r="G33">
        <f t="shared" si="2"/>
        <v>3304.0515087300237</v>
      </c>
      <c r="H33">
        <f t="shared" si="3"/>
        <v>3193.7907019764511</v>
      </c>
      <c r="I33">
        <f t="shared" si="4"/>
        <v>2611.0927045345838</v>
      </c>
      <c r="J33">
        <f t="shared" si="5"/>
        <v>560.49862914974551</v>
      </c>
      <c r="K33">
        <f t="shared" si="6"/>
        <v>12.158629149745479</v>
      </c>
      <c r="L33">
        <f t="shared" si="7"/>
        <v>147.83226280104049</v>
      </c>
    </row>
    <row r="34" spans="1:12" x14ac:dyDescent="0.25">
      <c r="A34" s="2">
        <v>42095</v>
      </c>
      <c r="B34">
        <v>548.6</v>
      </c>
      <c r="C34">
        <v>542.55999999999995</v>
      </c>
      <c r="D34" s="2"/>
      <c r="E34">
        <f t="shared" si="0"/>
        <v>1786.5006876913442</v>
      </c>
      <c r="F34">
        <f t="shared" si="1"/>
        <v>2602.4946097129769</v>
      </c>
      <c r="G34">
        <f t="shared" si="2"/>
        <v>3267.5554196779876</v>
      </c>
      <c r="H34">
        <f t="shared" si="3"/>
        <v>3169.0851229342493</v>
      </c>
      <c r="I34">
        <f t="shared" si="4"/>
        <v>2586.1637978210242</v>
      </c>
      <c r="J34">
        <f t="shared" si="5"/>
        <v>555.0757455233088</v>
      </c>
      <c r="K34">
        <f t="shared" si="6"/>
        <v>3.045745523308824</v>
      </c>
      <c r="L34">
        <f t="shared" si="7"/>
        <v>9.2765657927557417</v>
      </c>
    </row>
    <row r="35" spans="1:12" x14ac:dyDescent="0.25">
      <c r="A35" s="2">
        <v>42096</v>
      </c>
      <c r="B35">
        <v>540.85</v>
      </c>
      <c r="C35">
        <v>535.53</v>
      </c>
      <c r="D35" s="2"/>
      <c r="E35">
        <f t="shared" si="0"/>
        <v>1778.5486172867361</v>
      </c>
      <c r="F35">
        <f t="shared" si="1"/>
        <v>2588.3192944960847</v>
      </c>
      <c r="G35">
        <f t="shared" si="2"/>
        <v>3252.3801820478484</v>
      </c>
      <c r="H35">
        <f t="shared" si="3"/>
        <v>3145.4086891725747</v>
      </c>
      <c r="I35">
        <f t="shared" si="4"/>
        <v>2570.6840582663663</v>
      </c>
      <c r="J35">
        <f t="shared" si="5"/>
        <v>552.45204090359482</v>
      </c>
      <c r="K35">
        <f t="shared" si="6"/>
        <v>4.4520409035948205</v>
      </c>
      <c r="L35">
        <f t="shared" si="7"/>
        <v>19.820668207281386</v>
      </c>
    </row>
    <row r="36" spans="1:12" x14ac:dyDescent="0.25">
      <c r="A36" s="2">
        <v>42100</v>
      </c>
      <c r="B36">
        <v>532.22</v>
      </c>
      <c r="C36">
        <v>536.76</v>
      </c>
      <c r="D36" s="2"/>
      <c r="E36">
        <f t="shared" si="0"/>
        <v>1772.9986269175281</v>
      </c>
      <c r="F36">
        <f t="shared" si="1"/>
        <v>2580.0532696502555</v>
      </c>
      <c r="G36">
        <f t="shared" si="2"/>
        <v>3234.6556042435368</v>
      </c>
      <c r="H36">
        <f t="shared" si="3"/>
        <v>3135.2636783783978</v>
      </c>
      <c r="I36">
        <f t="shared" si="4"/>
        <v>2562.0287019155585</v>
      </c>
      <c r="J36">
        <f t="shared" si="5"/>
        <v>550.7120686948299</v>
      </c>
      <c r="K36">
        <f t="shared" si="6"/>
        <v>8.1520686948299499</v>
      </c>
      <c r="L36">
        <f t="shared" si="7"/>
        <v>66.456224005226488</v>
      </c>
    </row>
    <row r="37" spans="1:12" x14ac:dyDescent="0.25">
      <c r="A37" s="2">
        <v>42101</v>
      </c>
      <c r="B37">
        <v>538.08000000000004</v>
      </c>
      <c r="C37">
        <v>537.02</v>
      </c>
      <c r="D37" s="2"/>
      <c r="E37">
        <f t="shared" si="0"/>
        <v>1768.3741337987178</v>
      </c>
      <c r="F37">
        <f t="shared" si="1"/>
        <v>2573.2318245207457</v>
      </c>
      <c r="G37">
        <f t="shared" si="2"/>
        <v>3223.8423072750575</v>
      </c>
      <c r="H37">
        <f t="shared" si="3"/>
        <v>3124.890472026178</v>
      </c>
      <c r="I37">
        <f t="shared" si="4"/>
        <v>2555.2766354001969</v>
      </c>
      <c r="J37">
        <f t="shared" si="5"/>
        <v>549.27464430584962</v>
      </c>
      <c r="K37">
        <f t="shared" si="6"/>
        <v>13.744644305849647</v>
      </c>
      <c r="L37">
        <f t="shared" si="7"/>
        <v>188.91524709432514</v>
      </c>
    </row>
    <row r="38" spans="1:12" x14ac:dyDescent="0.25">
      <c r="A38" s="2">
        <v>42102</v>
      </c>
      <c r="B38">
        <v>538.38</v>
      </c>
      <c r="C38">
        <v>541.61</v>
      </c>
      <c r="D38" s="2"/>
      <c r="E38">
        <f t="shared" si="0"/>
        <v>1747.7623741960276</v>
      </c>
      <c r="F38">
        <f t="shared" si="1"/>
        <v>2546.7243553927869</v>
      </c>
      <c r="G38">
        <f t="shared" si="2"/>
        <v>3200.7204660842058</v>
      </c>
      <c r="H38">
        <f t="shared" si="3"/>
        <v>3096.92516567452</v>
      </c>
      <c r="I38">
        <f t="shared" si="4"/>
        <v>2529.3302594417555</v>
      </c>
      <c r="J38">
        <f t="shared" si="5"/>
        <v>543.06303638443217</v>
      </c>
      <c r="K38">
        <f t="shared" si="6"/>
        <v>6.3030363844321755</v>
      </c>
      <c r="L38">
        <f t="shared" si="7"/>
        <v>39.728267663475833</v>
      </c>
    </row>
    <row r="39" spans="1:12" x14ac:dyDescent="0.25">
      <c r="A39" s="2">
        <v>42103</v>
      </c>
      <c r="B39">
        <v>541.03</v>
      </c>
      <c r="C39">
        <v>540.78</v>
      </c>
      <c r="D39" s="2"/>
      <c r="E39">
        <f t="shared" si="0"/>
        <v>1721.5552634335265</v>
      </c>
      <c r="F39">
        <f t="shared" si="1"/>
        <v>2509.7438838101857</v>
      </c>
      <c r="G39">
        <f t="shared" si="2"/>
        <v>3160.2663478596651</v>
      </c>
      <c r="H39">
        <f t="shared" si="3"/>
        <v>3057.8960039003282</v>
      </c>
      <c r="I39">
        <f t="shared" si="4"/>
        <v>2493.5867675878371</v>
      </c>
      <c r="J39">
        <f t="shared" si="5"/>
        <v>535.01823743004934</v>
      </c>
      <c r="K39">
        <f t="shared" si="6"/>
        <v>-2.0017625699506425</v>
      </c>
      <c r="L39">
        <f t="shared" si="7"/>
        <v>4.007053386455401</v>
      </c>
    </row>
    <row r="40" spans="1:12" x14ac:dyDescent="0.25">
      <c r="A40" s="2">
        <v>42104</v>
      </c>
      <c r="B40">
        <v>542.29</v>
      </c>
      <c r="C40">
        <v>540.01</v>
      </c>
      <c r="D40" s="2"/>
      <c r="E40">
        <f t="shared" si="0"/>
        <v>1730.5579341729378</v>
      </c>
      <c r="F40">
        <f t="shared" si="1"/>
        <v>2514.9640090505109</v>
      </c>
      <c r="G40">
        <f t="shared" si="2"/>
        <v>3148.6475485176948</v>
      </c>
      <c r="H40">
        <f t="shared" si="3"/>
        <v>3054.8392435675983</v>
      </c>
      <c r="I40">
        <f t="shared" si="4"/>
        <v>2497.975652055743</v>
      </c>
      <c r="J40">
        <f t="shared" si="5"/>
        <v>537.40884618534506</v>
      </c>
      <c r="K40">
        <f t="shared" si="6"/>
        <v>-4.2011538146549583</v>
      </c>
      <c r="L40">
        <f t="shared" si="7"/>
        <v>17.649693374389908</v>
      </c>
    </row>
    <row r="41" spans="1:12" x14ac:dyDescent="0.25">
      <c r="A41" s="2">
        <v>42107</v>
      </c>
      <c r="B41">
        <v>538.41</v>
      </c>
      <c r="C41">
        <v>539.16999999999996</v>
      </c>
      <c r="D41" s="2"/>
      <c r="E41">
        <f t="shared" si="0"/>
        <v>1733.1198615511996</v>
      </c>
      <c r="F41">
        <f t="shared" si="1"/>
        <v>2520.2683929562781</v>
      </c>
      <c r="G41">
        <f t="shared" si="2"/>
        <v>3154.2187488229051</v>
      </c>
      <c r="H41">
        <f t="shared" si="3"/>
        <v>3055.1513047458752</v>
      </c>
      <c r="I41">
        <f t="shared" si="4"/>
        <v>2501.502964038581</v>
      </c>
      <c r="J41">
        <f t="shared" si="5"/>
        <v>538.23871098499365</v>
      </c>
      <c r="K41">
        <f t="shared" si="6"/>
        <v>-2.5412890150063276</v>
      </c>
      <c r="L41">
        <f t="shared" si="7"/>
        <v>6.458149857791831</v>
      </c>
    </row>
    <row r="42" spans="1:12" x14ac:dyDescent="0.25">
      <c r="A42" s="2">
        <v>42108</v>
      </c>
      <c r="B42">
        <v>536.25</v>
      </c>
      <c r="C42">
        <v>530.39</v>
      </c>
      <c r="D42" s="2"/>
      <c r="E42">
        <f t="shared" si="0"/>
        <v>1740.8942129298225</v>
      </c>
      <c r="F42">
        <f t="shared" si="1"/>
        <v>2530.8492234853102</v>
      </c>
      <c r="G42">
        <f t="shared" si="2"/>
        <v>3158.2649393414213</v>
      </c>
      <c r="H42">
        <f t="shared" si="3"/>
        <v>3068.1785704628687</v>
      </c>
      <c r="I42">
        <f t="shared" si="4"/>
        <v>2512.661859504567</v>
      </c>
      <c r="J42">
        <f t="shared" si="5"/>
        <v>540.6283251787994</v>
      </c>
      <c r="K42">
        <f t="shared" si="6"/>
        <v>0.61832517879940951</v>
      </c>
      <c r="L42">
        <f t="shared" si="7"/>
        <v>0.38232602673732174</v>
      </c>
    </row>
    <row r="43" spans="1:12" x14ac:dyDescent="0.25">
      <c r="A43" s="2">
        <v>42109</v>
      </c>
      <c r="B43">
        <v>528.70000000000005</v>
      </c>
      <c r="C43">
        <v>532.53</v>
      </c>
      <c r="D43" s="2"/>
      <c r="E43">
        <f t="shared" si="0"/>
        <v>1745.5490152897405</v>
      </c>
      <c r="F43">
        <f t="shared" si="1"/>
        <v>2538.1426409570604</v>
      </c>
      <c r="G43">
        <f t="shared" si="2"/>
        <v>3171.538266735176</v>
      </c>
      <c r="H43">
        <f t="shared" si="3"/>
        <v>3074.5552127822762</v>
      </c>
      <c r="I43">
        <f t="shared" si="4"/>
        <v>2519.6521926685018</v>
      </c>
      <c r="J43">
        <f t="shared" si="5"/>
        <v>542.09048365556055</v>
      </c>
      <c r="K43">
        <f t="shared" si="6"/>
        <v>2.920483655560588</v>
      </c>
      <c r="L43">
        <f t="shared" si="7"/>
        <v>8.5292247823965344</v>
      </c>
    </row>
    <row r="44" spans="1:12" x14ac:dyDescent="0.25">
      <c r="A44" s="2">
        <v>42110</v>
      </c>
      <c r="B44">
        <v>529.9</v>
      </c>
      <c r="C44">
        <v>533.79999999999995</v>
      </c>
      <c r="D44" s="2"/>
      <c r="E44">
        <f t="shared" si="0"/>
        <v>1736.8169376370995</v>
      </c>
      <c r="F44">
        <f t="shared" si="1"/>
        <v>2528.4100103536152</v>
      </c>
      <c r="G44">
        <f t="shared" si="2"/>
        <v>3166.9600897463401</v>
      </c>
      <c r="H44">
        <f t="shared" si="3"/>
        <v>3068.4494901339381</v>
      </c>
      <c r="I44">
        <f t="shared" si="4"/>
        <v>2510.516503273825</v>
      </c>
      <c r="J44">
        <f t="shared" si="5"/>
        <v>539.54005669736853</v>
      </c>
      <c r="K44">
        <f t="shared" si="6"/>
        <v>9.1500566973685409</v>
      </c>
      <c r="L44">
        <f t="shared" si="7"/>
        <v>83.723537565058891</v>
      </c>
    </row>
    <row r="45" spans="1:12" x14ac:dyDescent="0.25">
      <c r="A45" s="2">
        <v>42111</v>
      </c>
      <c r="B45">
        <v>528.66</v>
      </c>
      <c r="C45">
        <v>524.04999999999995</v>
      </c>
      <c r="D45" s="2"/>
      <c r="E45">
        <f t="shared" si="0"/>
        <v>1729.4674185005126</v>
      </c>
      <c r="F45">
        <f t="shared" si="1"/>
        <v>2517.3007833314223</v>
      </c>
      <c r="G45">
        <f t="shared" si="2"/>
        <v>3154.9488587451478</v>
      </c>
      <c r="H45">
        <f t="shared" si="3"/>
        <v>3057.6331586330875</v>
      </c>
      <c r="I45">
        <f t="shared" si="4"/>
        <v>2500.1195591909018</v>
      </c>
      <c r="J45">
        <f t="shared" si="5"/>
        <v>537.25662906904188</v>
      </c>
      <c r="K45">
        <f t="shared" si="6"/>
        <v>4.7266290690419055</v>
      </c>
      <c r="L45">
        <f t="shared" si="7"/>
        <v>22.341022356311949</v>
      </c>
    </row>
    <row r="46" spans="1:12" x14ac:dyDescent="0.25">
      <c r="A46" s="2">
        <v>42114</v>
      </c>
      <c r="B46">
        <v>525.6</v>
      </c>
      <c r="C46">
        <v>535.38</v>
      </c>
      <c r="D46" s="2"/>
      <c r="E46">
        <f t="shared" si="0"/>
        <v>1708.6042781291333</v>
      </c>
      <c r="F46">
        <f t="shared" si="1"/>
        <v>2489.7474818136284</v>
      </c>
      <c r="G46">
        <f t="shared" si="2"/>
        <v>3131.1237180453127</v>
      </c>
      <c r="H46">
        <f t="shared" si="3"/>
        <v>3028.1842307061042</v>
      </c>
      <c r="I46">
        <f t="shared" si="4"/>
        <v>2472.8571598833482</v>
      </c>
      <c r="J46">
        <f t="shared" si="5"/>
        <v>530.92771057182222</v>
      </c>
      <c r="K46">
        <f t="shared" si="6"/>
        <v>-2.8722894281777371</v>
      </c>
      <c r="L46">
        <f t="shared" si="7"/>
        <v>8.2500465592215928</v>
      </c>
    </row>
    <row r="47" spans="1:12" x14ac:dyDescent="0.25">
      <c r="A47" s="2">
        <v>42115</v>
      </c>
      <c r="B47">
        <v>537.51</v>
      </c>
      <c r="C47">
        <v>533.97</v>
      </c>
      <c r="D47" s="2"/>
      <c r="E47">
        <f t="shared" si="0"/>
        <v>1707.2602952984573</v>
      </c>
      <c r="F47">
        <f t="shared" si="1"/>
        <v>2483.5345330073615</v>
      </c>
      <c r="G47">
        <f t="shared" si="2"/>
        <v>3112.2543012212973</v>
      </c>
      <c r="H47">
        <f t="shared" si="3"/>
        <v>3018.8677821563383</v>
      </c>
      <c r="I47">
        <f t="shared" si="4"/>
        <v>2466.9107785303513</v>
      </c>
      <c r="J47">
        <f t="shared" si="5"/>
        <v>530.31023470429113</v>
      </c>
      <c r="K47">
        <f t="shared" si="6"/>
        <v>6.2602347042911788</v>
      </c>
      <c r="L47">
        <f t="shared" si="7"/>
        <v>39.19053855281166</v>
      </c>
    </row>
    <row r="48" spans="1:12" x14ac:dyDescent="0.25">
      <c r="A48" s="2">
        <v>42116</v>
      </c>
      <c r="B48">
        <v>534.4</v>
      </c>
      <c r="C48">
        <v>539.36</v>
      </c>
      <c r="D48" s="2"/>
      <c r="E48">
        <f t="shared" si="0"/>
        <v>1703.5956823148319</v>
      </c>
      <c r="F48">
        <f t="shared" si="1"/>
        <v>2478.6546513600383</v>
      </c>
      <c r="G48">
        <f t="shared" si="2"/>
        <v>3107.2297902559681</v>
      </c>
      <c r="H48">
        <f t="shared" si="3"/>
        <v>3008.409450965803</v>
      </c>
      <c r="I48">
        <f t="shared" si="4"/>
        <v>2460.9571671282101</v>
      </c>
      <c r="J48">
        <f t="shared" si="5"/>
        <v>529.17038086764387</v>
      </c>
      <c r="K48">
        <f t="shared" si="6"/>
        <v>-6.2096191323561243</v>
      </c>
      <c r="L48">
        <f t="shared" si="7"/>
        <v>38.559369768923226</v>
      </c>
    </row>
    <row r="49" spans="1:12" x14ac:dyDescent="0.25">
      <c r="A49" s="2">
        <v>42117</v>
      </c>
      <c r="B49">
        <v>541</v>
      </c>
      <c r="C49">
        <v>547</v>
      </c>
      <c r="D49" s="2"/>
      <c r="E49">
        <f t="shared" si="0"/>
        <v>1695.3741738772399</v>
      </c>
      <c r="F49">
        <f t="shared" si="1"/>
        <v>2467.9473341289668</v>
      </c>
      <c r="G49">
        <f t="shared" si="2"/>
        <v>3092.7434657050176</v>
      </c>
      <c r="H49">
        <f t="shared" si="3"/>
        <v>2998.191498752913</v>
      </c>
      <c r="I49">
        <f t="shared" si="4"/>
        <v>2450.7943550573309</v>
      </c>
      <c r="J49">
        <f t="shared" si="5"/>
        <v>526.69368995055765</v>
      </c>
      <c r="K49">
        <f t="shared" si="6"/>
        <v>-7.2763100494423725</v>
      </c>
      <c r="L49">
        <f t="shared" si="7"/>
        <v>52.944687935616059</v>
      </c>
    </row>
    <row r="50" spans="1:12" x14ac:dyDescent="0.25">
      <c r="A50" s="2">
        <v>42118</v>
      </c>
      <c r="B50">
        <v>566.1</v>
      </c>
      <c r="C50">
        <v>565.05999999999995</v>
      </c>
      <c r="D50" s="2"/>
      <c r="E50">
        <f t="shared" si="0"/>
        <v>1723.6792270613955</v>
      </c>
      <c r="F50">
        <f t="shared" si="1"/>
        <v>2501.0693609021869</v>
      </c>
      <c r="G50">
        <f t="shared" si="2"/>
        <v>3113.4028515264354</v>
      </c>
      <c r="H50">
        <f t="shared" si="3"/>
        <v>3027.092563341314</v>
      </c>
      <c r="I50">
        <f t="shared" si="4"/>
        <v>2482.9912142647008</v>
      </c>
      <c r="J50">
        <f t="shared" si="5"/>
        <v>535.06088610093684</v>
      </c>
      <c r="K50">
        <f t="shared" si="6"/>
        <v>-4.2991138990631725</v>
      </c>
      <c r="L50">
        <f t="shared" si="7"/>
        <v>18.482380317118153</v>
      </c>
    </row>
    <row r="51" spans="1:12" x14ac:dyDescent="0.25">
      <c r="A51" s="2">
        <v>42121</v>
      </c>
      <c r="B51">
        <v>563.39</v>
      </c>
      <c r="C51">
        <v>555.37</v>
      </c>
      <c r="D51" s="2"/>
      <c r="E51">
        <f t="shared" si="0"/>
        <v>1721.7176107593307</v>
      </c>
      <c r="F51">
        <f t="shared" si="1"/>
        <v>2504.9443134930525</v>
      </c>
      <c r="G51">
        <f t="shared" si="2"/>
        <v>3132.4324374558969</v>
      </c>
      <c r="H51">
        <f t="shared" si="3"/>
        <v>3032.0675753798664</v>
      </c>
      <c r="I51">
        <f t="shared" si="4"/>
        <v>2485.6313085545535</v>
      </c>
      <c r="J51">
        <f t="shared" si="5"/>
        <v>534.75042173715883</v>
      </c>
      <c r="K51">
        <f t="shared" si="6"/>
        <v>-12.249578262841169</v>
      </c>
      <c r="L51">
        <f t="shared" si="7"/>
        <v>150.05216761747087</v>
      </c>
    </row>
    <row r="52" spans="1:12" x14ac:dyDescent="0.25">
      <c r="A52" s="2">
        <v>42122</v>
      </c>
      <c r="B52">
        <v>554.64</v>
      </c>
      <c r="C52">
        <v>553.67999999999995</v>
      </c>
      <c r="D52" s="2"/>
      <c r="E52">
        <f t="shared" si="0"/>
        <v>1738.5972446100072</v>
      </c>
      <c r="F52">
        <f t="shared" si="1"/>
        <v>2525.6860317672567</v>
      </c>
      <c r="G52">
        <f t="shared" si="2"/>
        <v>3144.0478469597756</v>
      </c>
      <c r="H52">
        <f t="shared" si="3"/>
        <v>3059.4829957567749</v>
      </c>
      <c r="I52">
        <f t="shared" si="4"/>
        <v>2507.7769166437524</v>
      </c>
      <c r="J52">
        <f t="shared" si="5"/>
        <v>539.8338350639965</v>
      </c>
      <c r="K52">
        <f t="shared" si="6"/>
        <v>-25.226164936003443</v>
      </c>
      <c r="L52">
        <f t="shared" si="7"/>
        <v>636.35939737844956</v>
      </c>
    </row>
    <row r="53" spans="1:12" x14ac:dyDescent="0.25">
      <c r="A53" s="2">
        <v>42123</v>
      </c>
      <c r="B53">
        <v>550.47</v>
      </c>
      <c r="C53">
        <v>549.08000000000004</v>
      </c>
      <c r="D53" s="2"/>
      <c r="E53">
        <f t="shared" si="0"/>
        <v>1805.1647580662161</v>
      </c>
      <c r="F53">
        <f t="shared" si="1"/>
        <v>2611.3359276662313</v>
      </c>
      <c r="G53">
        <f t="shared" si="2"/>
        <v>3224.7782383786962</v>
      </c>
      <c r="H53">
        <f t="shared" si="3"/>
        <v>3141.1914467024931</v>
      </c>
      <c r="I53">
        <f t="shared" si="4"/>
        <v>2590.2371415912949</v>
      </c>
      <c r="J53">
        <f t="shared" si="5"/>
        <v>559.8646772032298</v>
      </c>
      <c r="K53">
        <f t="shared" si="6"/>
        <v>4.4946772032297986</v>
      </c>
      <c r="L53">
        <f t="shared" si="7"/>
        <v>20.202123161233644</v>
      </c>
    </row>
    <row r="54" spans="1:12" x14ac:dyDescent="0.25">
      <c r="A54" s="2">
        <v>42124</v>
      </c>
      <c r="B54">
        <v>547.87</v>
      </c>
      <c r="C54">
        <v>537.34</v>
      </c>
      <c r="D54" s="2"/>
      <c r="E54">
        <f t="shared" si="0"/>
        <v>1812.7802023005529</v>
      </c>
      <c r="F54">
        <f t="shared" si="1"/>
        <v>2635.8057379853271</v>
      </c>
      <c r="G54">
        <f t="shared" si="2"/>
        <v>3279.7419605433106</v>
      </c>
      <c r="H54">
        <f t="shared" si="3"/>
        <v>3178.3972304783433</v>
      </c>
      <c r="I54">
        <f t="shared" si="4"/>
        <v>2613.6282782563585</v>
      </c>
      <c r="J54">
        <f t="shared" si="5"/>
        <v>562.85217950468268</v>
      </c>
      <c r="K54">
        <f t="shared" si="6"/>
        <v>9.172179504682731</v>
      </c>
      <c r="L54">
        <f t="shared" si="7"/>
        <v>84.128876866121942</v>
      </c>
    </row>
    <row r="55" spans="1:12" x14ac:dyDescent="0.25">
      <c r="A55" s="2">
        <v>42125</v>
      </c>
      <c r="B55">
        <v>538.42999999999995</v>
      </c>
      <c r="C55">
        <v>537.9</v>
      </c>
      <c r="D55" s="2"/>
      <c r="E55">
        <f t="shared" si="0"/>
        <v>1793.0766470409981</v>
      </c>
      <c r="F55">
        <f t="shared" si="1"/>
        <v>2613.3040957541293</v>
      </c>
      <c r="G55">
        <f t="shared" si="2"/>
        <v>3269.0856301965105</v>
      </c>
      <c r="H55">
        <f t="shared" si="3"/>
        <v>3173.1662604275029</v>
      </c>
      <c r="I55">
        <f t="shared" si="4"/>
        <v>2595.6874957883356</v>
      </c>
      <c r="J55">
        <f t="shared" si="5"/>
        <v>557.14594731956959</v>
      </c>
      <c r="K55">
        <f t="shared" si="6"/>
        <v>8.0659473195695455</v>
      </c>
      <c r="L55">
        <f t="shared" si="7"/>
        <v>65.059506162071131</v>
      </c>
    </row>
    <row r="56" spans="1:12" x14ac:dyDescent="0.25">
      <c r="A56" s="2">
        <v>42128</v>
      </c>
      <c r="B56">
        <v>538.53</v>
      </c>
      <c r="C56">
        <v>540.78</v>
      </c>
      <c r="D56" s="2"/>
      <c r="E56">
        <f t="shared" si="0"/>
        <v>1777.416236371216</v>
      </c>
      <c r="F56">
        <f t="shared" si="1"/>
        <v>2588.6292865281421</v>
      </c>
      <c r="G56">
        <f t="shared" si="2"/>
        <v>3253.5089929339142</v>
      </c>
      <c r="H56">
        <f t="shared" si="3"/>
        <v>3146.2926718389513</v>
      </c>
      <c r="I56">
        <f t="shared" si="4"/>
        <v>2571.7699840156861</v>
      </c>
      <c r="J56">
        <f t="shared" si="5"/>
        <v>552.21394603256533</v>
      </c>
      <c r="K56">
        <f t="shared" si="6"/>
        <v>14.8739460325653</v>
      </c>
      <c r="L56">
        <f t="shared" si="7"/>
        <v>221.23427057966504</v>
      </c>
    </row>
    <row r="57" spans="1:12" x14ac:dyDescent="0.25">
      <c r="A57" s="2">
        <v>42129</v>
      </c>
      <c r="B57">
        <v>538.21</v>
      </c>
      <c r="C57">
        <v>530.79999999999995</v>
      </c>
      <c r="D57" s="2"/>
      <c r="E57">
        <f t="shared" si="0"/>
        <v>1767.2467976553103</v>
      </c>
      <c r="F57">
        <f t="shared" si="1"/>
        <v>2572.5115187826623</v>
      </c>
      <c r="G57">
        <f t="shared" si="2"/>
        <v>3231.5027722810401</v>
      </c>
      <c r="H57">
        <f t="shared" si="3"/>
        <v>3128.0267358985488</v>
      </c>
      <c r="I57">
        <f t="shared" si="4"/>
        <v>2555.0060146011811</v>
      </c>
      <c r="J57">
        <f t="shared" si="5"/>
        <v>548.98010900935628</v>
      </c>
      <c r="K57">
        <f t="shared" si="6"/>
        <v>11.080109009356306</v>
      </c>
      <c r="L57">
        <f t="shared" si="7"/>
        <v>122.76881565921879</v>
      </c>
    </row>
    <row r="58" spans="1:12" x14ac:dyDescent="0.25">
      <c r="A58" s="2">
        <v>42130</v>
      </c>
      <c r="B58">
        <v>531.24</v>
      </c>
      <c r="C58">
        <v>524.22</v>
      </c>
      <c r="D58" s="2"/>
      <c r="E58">
        <f t="shared" si="0"/>
        <v>1741.3204954816524</v>
      </c>
      <c r="F58">
        <f t="shared" si="1"/>
        <v>2538.4072514830118</v>
      </c>
      <c r="G58">
        <f t="shared" si="2"/>
        <v>3195.5213878899376</v>
      </c>
      <c r="H58">
        <f t="shared" si="3"/>
        <v>3090.9424691850477</v>
      </c>
      <c r="I58">
        <f t="shared" si="4"/>
        <v>2521.3532480151239</v>
      </c>
      <c r="J58">
        <f t="shared" si="5"/>
        <v>541.12395396138834</v>
      </c>
      <c r="K58">
        <f t="shared" si="6"/>
        <v>0.34395396138836531</v>
      </c>
      <c r="L58">
        <f t="shared" si="7"/>
        <v>0.11830432755474909</v>
      </c>
    </row>
    <row r="59" spans="1:12" x14ac:dyDescent="0.25">
      <c r="A59" s="2">
        <v>42131</v>
      </c>
      <c r="B59">
        <v>523.99</v>
      </c>
      <c r="C59">
        <v>530.70000000000005</v>
      </c>
      <c r="D59" s="2"/>
      <c r="E59">
        <f t="shared" si="0"/>
        <v>1736.1121224824867</v>
      </c>
      <c r="F59">
        <f t="shared" si="1"/>
        <v>2526.2882923364959</v>
      </c>
      <c r="G59">
        <f t="shared" si="2"/>
        <v>3169.1532699836926</v>
      </c>
      <c r="H59">
        <f t="shared" si="3"/>
        <v>3073.26455382222</v>
      </c>
      <c r="I59">
        <f t="shared" si="4"/>
        <v>2509.7022134869512</v>
      </c>
      <c r="J59">
        <f t="shared" si="5"/>
        <v>539.29866463553583</v>
      </c>
      <c r="K59">
        <f t="shared" si="6"/>
        <v>8.4986646355358744</v>
      </c>
      <c r="L59">
        <f t="shared" si="7"/>
        <v>72.227300587308122</v>
      </c>
    </row>
    <row r="60" spans="1:12" x14ac:dyDescent="0.25">
      <c r="A60" s="2">
        <v>42132</v>
      </c>
      <c r="B60">
        <v>536.65</v>
      </c>
      <c r="C60">
        <v>538.22</v>
      </c>
      <c r="D60" s="2"/>
      <c r="E60">
        <f t="shared" si="0"/>
        <v>1733.8931461377804</v>
      </c>
      <c r="F60">
        <f t="shared" si="1"/>
        <v>2522.3203378309668</v>
      </c>
      <c r="G60">
        <f t="shared" si="2"/>
        <v>3162.451204435898</v>
      </c>
      <c r="H60">
        <f t="shared" si="3"/>
        <v>3061.999737398191</v>
      </c>
      <c r="I60">
        <f t="shared" si="4"/>
        <v>2504.4115258606471</v>
      </c>
      <c r="J60">
        <f t="shared" si="5"/>
        <v>538.54357663164967</v>
      </c>
      <c r="K60">
        <f t="shared" si="6"/>
        <v>14.323576631649644</v>
      </c>
      <c r="L60">
        <f t="shared" si="7"/>
        <v>205.16484752273976</v>
      </c>
    </row>
    <row r="61" spans="1:12" x14ac:dyDescent="0.25">
      <c r="A61" s="2">
        <v>42135</v>
      </c>
      <c r="B61">
        <v>538.37</v>
      </c>
      <c r="C61">
        <v>535.70000000000005</v>
      </c>
      <c r="D61" s="2"/>
      <c r="E61">
        <f t="shared" si="0"/>
        <v>1716.1003468090132</v>
      </c>
      <c r="F61">
        <f t="shared" si="1"/>
        <v>2500.142288199133</v>
      </c>
      <c r="G61">
        <f t="shared" si="2"/>
        <v>3139.2832069539345</v>
      </c>
      <c r="H61">
        <f t="shared" si="3"/>
        <v>3040.0893526676841</v>
      </c>
      <c r="I61">
        <f t="shared" si="4"/>
        <v>2482.8751595499548</v>
      </c>
      <c r="J61">
        <f t="shared" si="5"/>
        <v>533.21936537860142</v>
      </c>
      <c r="K61">
        <f t="shared" si="6"/>
        <v>2.5193653786013783</v>
      </c>
      <c r="L61">
        <f t="shared" si="7"/>
        <v>6.347201910895266</v>
      </c>
    </row>
    <row r="62" spans="1:12" x14ac:dyDescent="0.25">
      <c r="A62" s="2">
        <v>42136</v>
      </c>
      <c r="B62">
        <v>531.6</v>
      </c>
      <c r="C62">
        <v>529.04</v>
      </c>
      <c r="D62" s="2"/>
      <c r="E62">
        <f t="shared" si="0"/>
        <v>1693.970497071216</v>
      </c>
      <c r="F62">
        <f t="shared" si="1"/>
        <v>2468.791940360532</v>
      </c>
      <c r="G62">
        <f t="shared" si="2"/>
        <v>3105.5604200608213</v>
      </c>
      <c r="H62">
        <f t="shared" si="3"/>
        <v>3005.9888519388205</v>
      </c>
      <c r="I62">
        <f t="shared" si="4"/>
        <v>2452.7267939744079</v>
      </c>
      <c r="J62">
        <f t="shared" si="5"/>
        <v>526.42384930233607</v>
      </c>
      <c r="K62">
        <f t="shared" si="6"/>
        <v>-11.796150697663961</v>
      </c>
      <c r="L62">
        <f t="shared" si="7"/>
        <v>139.14917128199795</v>
      </c>
    </row>
    <row r="63" spans="1:12" x14ac:dyDescent="0.25">
      <c r="A63" s="2">
        <v>42137</v>
      </c>
      <c r="B63">
        <v>530.55999999999995</v>
      </c>
      <c r="C63">
        <v>529.62</v>
      </c>
      <c r="D63" s="2"/>
      <c r="E63">
        <f t="shared" si="0"/>
        <v>1721.0401710950543</v>
      </c>
      <c r="F63">
        <f t="shared" si="1"/>
        <v>2497.2463484184491</v>
      </c>
      <c r="G63">
        <f t="shared" si="2"/>
        <v>3114.2017704226255</v>
      </c>
      <c r="H63">
        <f t="shared" si="3"/>
        <v>3026.6076959639054</v>
      </c>
      <c r="I63">
        <f t="shared" si="4"/>
        <v>2479.7529277845579</v>
      </c>
      <c r="J63">
        <f t="shared" si="5"/>
        <v>534.2566927812403</v>
      </c>
      <c r="K63">
        <f t="shared" si="6"/>
        <v>-1.4433072187597418</v>
      </c>
      <c r="L63">
        <f t="shared" si="7"/>
        <v>2.083135727723981</v>
      </c>
    </row>
    <row r="64" spans="1:12" x14ac:dyDescent="0.25">
      <c r="A64" s="2">
        <v>42138</v>
      </c>
      <c r="B64">
        <v>533.77</v>
      </c>
      <c r="C64">
        <v>538.4</v>
      </c>
      <c r="D64" s="2"/>
      <c r="E64">
        <f t="shared" si="0"/>
        <v>1731.0529370519696</v>
      </c>
      <c r="F64">
        <f t="shared" si="1"/>
        <v>2515.7897194318225</v>
      </c>
      <c r="G64">
        <f t="shared" si="2"/>
        <v>3140.5597345070137</v>
      </c>
      <c r="H64">
        <f t="shared" si="3"/>
        <v>3042.6983691461237</v>
      </c>
      <c r="I64">
        <f t="shared" si="4"/>
        <v>2495.9839537302269</v>
      </c>
      <c r="J64">
        <f t="shared" si="5"/>
        <v>537.5018241573955</v>
      </c>
      <c r="K64">
        <f t="shared" si="6"/>
        <v>8.4618241573955402</v>
      </c>
      <c r="L64">
        <f t="shared" si="7"/>
        <v>71.602468070682747</v>
      </c>
    </row>
    <row r="65" spans="1:12" x14ac:dyDescent="0.25">
      <c r="A65" s="2">
        <v>42139</v>
      </c>
      <c r="B65">
        <v>539.17999999999995</v>
      </c>
      <c r="C65">
        <v>533.85</v>
      </c>
      <c r="D65" s="2"/>
      <c r="E65">
        <f t="shared" si="0"/>
        <v>1716.8056779967178</v>
      </c>
      <c r="F65">
        <f t="shared" si="1"/>
        <v>2500.8503035171461</v>
      </c>
      <c r="G65">
        <f t="shared" si="2"/>
        <v>3130.1615879312708</v>
      </c>
      <c r="H65">
        <f t="shared" si="3"/>
        <v>3036.4242407386009</v>
      </c>
      <c r="I65">
        <f t="shared" si="4"/>
        <v>2483.2708022915967</v>
      </c>
      <c r="J65">
        <f t="shared" si="5"/>
        <v>533.41542079521207</v>
      </c>
      <c r="K65">
        <f t="shared" si="6"/>
        <v>3.7954207952120669</v>
      </c>
      <c r="L65">
        <f t="shared" si="7"/>
        <v>14.405219012728198</v>
      </c>
    </row>
    <row r="66" spans="1:12" x14ac:dyDescent="0.25">
      <c r="A66" s="2">
        <v>42142</v>
      </c>
      <c r="B66">
        <v>532.01</v>
      </c>
      <c r="C66">
        <v>532.29999999999995</v>
      </c>
      <c r="D66" s="2"/>
      <c r="E66">
        <f t="shared" si="0"/>
        <v>1710.8128473173999</v>
      </c>
      <c r="F66">
        <f t="shared" si="1"/>
        <v>2489.8520051330474</v>
      </c>
      <c r="G66">
        <f t="shared" si="2"/>
        <v>3120.6055924695011</v>
      </c>
      <c r="H66">
        <f t="shared" si="3"/>
        <v>3023.8804590426666</v>
      </c>
      <c r="I66">
        <f t="shared" si="4"/>
        <v>2473.2129075052853</v>
      </c>
      <c r="J66">
        <f t="shared" si="5"/>
        <v>531.46767421818925</v>
      </c>
      <c r="K66">
        <f t="shared" si="6"/>
        <v>-6.9323257818107322</v>
      </c>
      <c r="L66">
        <f t="shared" si="7"/>
        <v>48.057140745157781</v>
      </c>
    </row>
    <row r="67" spans="1:12" x14ac:dyDescent="0.25">
      <c r="A67" s="2">
        <v>42143</v>
      </c>
      <c r="B67">
        <v>533.98</v>
      </c>
      <c r="C67">
        <v>537.36</v>
      </c>
      <c r="D67" s="2"/>
      <c r="E67">
        <f t="shared" si="0"/>
        <v>1717.3290257476342</v>
      </c>
      <c r="F67">
        <f t="shared" si="1"/>
        <v>2496.4091145353859</v>
      </c>
      <c r="G67">
        <f t="shared" si="2"/>
        <v>3123.5083461268428</v>
      </c>
      <c r="H67">
        <f t="shared" si="3"/>
        <v>3027.4637315354357</v>
      </c>
      <c r="I67">
        <f t="shared" si="4"/>
        <v>2478.6255253911077</v>
      </c>
      <c r="J67">
        <f t="shared" si="5"/>
        <v>533.32031439463321</v>
      </c>
      <c r="K67">
        <f t="shared" si="6"/>
        <v>-0.52968560536680798</v>
      </c>
      <c r="L67">
        <f t="shared" si="7"/>
        <v>0.28056684053280184</v>
      </c>
    </row>
    <row r="68" spans="1:12" x14ac:dyDescent="0.25">
      <c r="A68" s="2">
        <v>42144</v>
      </c>
      <c r="B68">
        <v>538.49</v>
      </c>
      <c r="C68">
        <v>539.27</v>
      </c>
      <c r="D68" s="2"/>
      <c r="E68">
        <f t="shared" si="0"/>
        <v>1732.5773748874076</v>
      </c>
      <c r="F68">
        <f t="shared" si="1"/>
        <v>2516.9418319381898</v>
      </c>
      <c r="G68">
        <f t="shared" si="2"/>
        <v>3138.9077447761247</v>
      </c>
      <c r="H68">
        <f t="shared" si="3"/>
        <v>3047.7289532587315</v>
      </c>
      <c r="I68">
        <f t="shared" si="4"/>
        <v>2498.2580447401233</v>
      </c>
      <c r="J68">
        <f t="shared" si="5"/>
        <v>537.94910018129735</v>
      </c>
      <c r="K68">
        <f t="shared" si="6"/>
        <v>5.6491001812973991</v>
      </c>
      <c r="L68">
        <f t="shared" si="7"/>
        <v>31.912332858334306</v>
      </c>
    </row>
    <row r="69" spans="1:12" x14ac:dyDescent="0.25">
      <c r="A69" s="2">
        <v>42145</v>
      </c>
      <c r="B69">
        <v>537.95000000000005</v>
      </c>
      <c r="C69">
        <v>542.51</v>
      </c>
      <c r="D69" s="2"/>
      <c r="E69">
        <f t="shared" si="0"/>
        <v>1717.8308992052521</v>
      </c>
      <c r="F69">
        <f t="shared" si="1"/>
        <v>2502.1850659194592</v>
      </c>
      <c r="G69">
        <f t="shared" si="2"/>
        <v>3135.9899863850296</v>
      </c>
      <c r="H69">
        <f t="shared" si="3"/>
        <v>3035.9540081878431</v>
      </c>
      <c r="I69">
        <f t="shared" si="4"/>
        <v>2484.0885574274439</v>
      </c>
      <c r="J69">
        <f t="shared" si="5"/>
        <v>533.71377018573639</v>
      </c>
      <c r="K69">
        <f t="shared" si="6"/>
        <v>-3.64622981426362</v>
      </c>
      <c r="L69">
        <f t="shared" si="7"/>
        <v>13.294991858424913</v>
      </c>
    </row>
    <row r="70" spans="1:12" x14ac:dyDescent="0.25">
      <c r="A70" s="2">
        <v>42146</v>
      </c>
      <c r="B70">
        <v>540.15</v>
      </c>
      <c r="C70">
        <v>540.11</v>
      </c>
      <c r="D70" s="2"/>
      <c r="E70">
        <f t="shared" si="0"/>
        <v>1719.8120014265548</v>
      </c>
      <c r="F70">
        <f t="shared" si="1"/>
        <v>2501.325678411994</v>
      </c>
      <c r="G70">
        <f t="shared" si="2"/>
        <v>3128.0725513732341</v>
      </c>
      <c r="H70">
        <f t="shared" si="3"/>
        <v>3036.8529119269524</v>
      </c>
      <c r="I70">
        <f t="shared" si="4"/>
        <v>2484.4711071060074</v>
      </c>
      <c r="J70">
        <f t="shared" si="5"/>
        <v>534.17553236135984</v>
      </c>
      <c r="K70">
        <f t="shared" si="6"/>
        <v>-5.0944676386401397</v>
      </c>
      <c r="L70">
        <f t="shared" si="7"/>
        <v>25.953600521151643</v>
      </c>
    </row>
    <row r="71" spans="1:12" x14ac:dyDescent="0.25">
      <c r="A71" s="2">
        <v>42150</v>
      </c>
      <c r="B71">
        <v>538.12</v>
      </c>
      <c r="C71">
        <v>532.32000000000005</v>
      </c>
      <c r="D71" s="2"/>
      <c r="E71">
        <f t="shared" si="0"/>
        <v>1731.1686321878849</v>
      </c>
      <c r="F71">
        <f t="shared" si="1"/>
        <v>2515.5140204718837</v>
      </c>
      <c r="G71">
        <f t="shared" si="2"/>
        <v>3143.4517795835063</v>
      </c>
      <c r="H71">
        <f t="shared" si="3"/>
        <v>3046.58813075833</v>
      </c>
      <c r="I71">
        <f t="shared" si="4"/>
        <v>2497.0767189276944</v>
      </c>
      <c r="J71">
        <f t="shared" si="5"/>
        <v>537.54805665331469</v>
      </c>
      <c r="K71">
        <f t="shared" si="6"/>
        <v>-4.9619433466853025</v>
      </c>
      <c r="L71">
        <f t="shared" si="7"/>
        <v>24.62088177571454</v>
      </c>
    </row>
    <row r="72" spans="1:12" x14ac:dyDescent="0.25">
      <c r="A72" s="2">
        <v>42151</v>
      </c>
      <c r="B72">
        <v>532.79999999999995</v>
      </c>
      <c r="C72">
        <v>539.79</v>
      </c>
      <c r="D72" s="2"/>
      <c r="E72">
        <f t="shared" si="0"/>
        <v>1732.5242164768622</v>
      </c>
      <c r="F72">
        <f t="shared" si="1"/>
        <v>2520.0012573947442</v>
      </c>
      <c r="G72">
        <f t="shared" si="2"/>
        <v>3149.2501513563016</v>
      </c>
      <c r="H72">
        <f t="shared" si="3"/>
        <v>3054.5180313118476</v>
      </c>
      <c r="I72">
        <f t="shared" si="4"/>
        <v>2501.4861016505083</v>
      </c>
      <c r="J72">
        <f t="shared" si="5"/>
        <v>538.08889456032477</v>
      </c>
      <c r="K72">
        <f t="shared" si="6"/>
        <v>-2.0211054396752388</v>
      </c>
      <c r="L72">
        <f t="shared" si="7"/>
        <v>4.0848671982848401</v>
      </c>
    </row>
    <row r="73" spans="1:12" x14ac:dyDescent="0.25">
      <c r="A73" s="2">
        <v>42152</v>
      </c>
      <c r="B73">
        <v>538.01</v>
      </c>
      <c r="C73">
        <v>539.78</v>
      </c>
      <c r="D73" s="2"/>
      <c r="E73">
        <f t="shared" si="0"/>
        <v>1738.500580906898</v>
      </c>
      <c r="F73">
        <f t="shared" si="1"/>
        <v>2527.7011777098114</v>
      </c>
      <c r="G73">
        <f t="shared" si="2"/>
        <v>3156.5267773988612</v>
      </c>
      <c r="H73">
        <f t="shared" si="3"/>
        <v>3063.6883450015339</v>
      </c>
      <c r="I73">
        <f t="shared" si="4"/>
        <v>2509.6862089062752</v>
      </c>
      <c r="J73">
        <f t="shared" si="5"/>
        <v>539.90608753976812</v>
      </c>
      <c r="K73">
        <f t="shared" si="6"/>
        <v>7.5860875397680729</v>
      </c>
      <c r="L73">
        <f t="shared" si="7"/>
        <v>57.548724161024417</v>
      </c>
    </row>
    <row r="74" spans="1:12" x14ac:dyDescent="0.25">
      <c r="A74" s="2">
        <v>42153</v>
      </c>
      <c r="B74">
        <v>537.37</v>
      </c>
      <c r="C74">
        <v>532.11</v>
      </c>
      <c r="D74" s="2"/>
      <c r="E74">
        <f t="shared" si="0"/>
        <v>1734.4591045526804</v>
      </c>
      <c r="F74">
        <f t="shared" si="1"/>
        <v>2523.8689862127753</v>
      </c>
      <c r="G74">
        <f t="shared" si="2"/>
        <v>3159.7579405548254</v>
      </c>
      <c r="H74">
        <f t="shared" si="3"/>
        <v>3060.5547646244918</v>
      </c>
      <c r="I74">
        <f t="shared" si="4"/>
        <v>2505.754547069394</v>
      </c>
      <c r="J74">
        <f t="shared" si="5"/>
        <v>538.74956587275949</v>
      </c>
      <c r="K74">
        <f t="shared" si="6"/>
        <v>-1.0404341272404736</v>
      </c>
      <c r="L74">
        <f t="shared" si="7"/>
        <v>1.0825031731266459</v>
      </c>
    </row>
    <row r="75" spans="1:12" x14ac:dyDescent="0.25">
      <c r="A75" s="2">
        <v>42156</v>
      </c>
      <c r="B75">
        <v>536.79</v>
      </c>
      <c r="C75">
        <v>533.99</v>
      </c>
      <c r="D75" s="2"/>
      <c r="E75">
        <f t="shared" ref="E75:E138" si="8">SUMPRODUCT($E$2:$E$6,B68:B72)+$E$7</f>
        <v>1720.2505577864138</v>
      </c>
      <c r="F75">
        <f t="shared" ref="F75:F138" si="9">SUMPRODUCT($F$2:$F$6,B68:B72)+$F$7</f>
        <v>2505.4452258217966</v>
      </c>
      <c r="G75">
        <f t="shared" ref="G75:G138" si="10">SUMPRODUCT($G$2:$G$6,B68:B72)+$G$7</f>
        <v>3143.1658218071598</v>
      </c>
      <c r="H75">
        <f t="shared" ref="H75:H138" si="11">SUMPRODUCT($H$2:$H$6,B68:B72)+$H$7</f>
        <v>3044.6096900112029</v>
      </c>
      <c r="I75">
        <f t="shared" ref="I75:I138" si="12">SUMPRODUCT($I$2:$I$6,B68:B72)+$I$7</f>
        <v>2488.2823227478739</v>
      </c>
      <c r="J75">
        <f t="shared" ref="J75:J138" si="13">$J$2*E75+$J$3*F75+$J$4*G75+$J$5*H75+$J$6*I75+$J$7</f>
        <v>534.47347738760573</v>
      </c>
      <c r="K75">
        <f t="shared" ref="K75:K138" si="14">$J75-C73</f>
        <v>-5.3065226123942466</v>
      </c>
      <c r="L75">
        <f t="shared" ref="L75:L138" si="15">K75^2</f>
        <v>28.159182235851461</v>
      </c>
    </row>
    <row r="76" spans="1:12" x14ac:dyDescent="0.25">
      <c r="A76" s="2">
        <v>42157</v>
      </c>
      <c r="B76">
        <v>532.92999999999995</v>
      </c>
      <c r="C76">
        <v>539.17999999999995</v>
      </c>
      <c r="D76" s="2"/>
      <c r="E76">
        <f t="shared" si="8"/>
        <v>1730.2685481625247</v>
      </c>
      <c r="F76">
        <f t="shared" si="9"/>
        <v>2514.5631303238983</v>
      </c>
      <c r="G76">
        <f t="shared" si="10"/>
        <v>3143.0450320618729</v>
      </c>
      <c r="H76">
        <f t="shared" si="11"/>
        <v>3050.4552312555466</v>
      </c>
      <c r="I76">
        <f t="shared" si="12"/>
        <v>2497.1409327891624</v>
      </c>
      <c r="J76">
        <f t="shared" si="13"/>
        <v>537.3099412499796</v>
      </c>
      <c r="K76">
        <f t="shared" si="14"/>
        <v>5.1999412499795881</v>
      </c>
      <c r="L76">
        <f t="shared" si="15"/>
        <v>27.039389003239283</v>
      </c>
    </row>
    <row r="77" spans="1:12" x14ac:dyDescent="0.25">
      <c r="A77" s="2">
        <v>42158</v>
      </c>
      <c r="B77">
        <v>539.91</v>
      </c>
      <c r="C77">
        <v>540.30999999999995</v>
      </c>
      <c r="D77" s="2"/>
      <c r="E77">
        <f t="shared" si="8"/>
        <v>1730.6165288364598</v>
      </c>
      <c r="F77">
        <f t="shared" si="9"/>
        <v>2517.210692168248</v>
      </c>
      <c r="G77">
        <f t="shared" si="10"/>
        <v>3150.1825979843702</v>
      </c>
      <c r="H77">
        <f t="shared" si="11"/>
        <v>3051.0367539264175</v>
      </c>
      <c r="I77">
        <f t="shared" si="12"/>
        <v>2498.6207200480003</v>
      </c>
      <c r="J77">
        <f t="shared" si="13"/>
        <v>537.49465565109585</v>
      </c>
      <c r="K77">
        <f t="shared" si="14"/>
        <v>3.5046556510958453</v>
      </c>
      <c r="L77">
        <f t="shared" si="15"/>
        <v>12.282611232758043</v>
      </c>
    </row>
    <row r="78" spans="1:12" x14ac:dyDescent="0.25">
      <c r="A78" s="2">
        <v>42159</v>
      </c>
      <c r="B78">
        <v>537.76</v>
      </c>
      <c r="C78">
        <v>536.70000000000005</v>
      </c>
      <c r="D78" s="2"/>
      <c r="E78">
        <f t="shared" si="8"/>
        <v>1729.6132966813764</v>
      </c>
      <c r="F78">
        <f t="shared" si="9"/>
        <v>2516.3147552960895</v>
      </c>
      <c r="G78">
        <f t="shared" si="10"/>
        <v>3146.2921186409199</v>
      </c>
      <c r="H78">
        <f t="shared" si="11"/>
        <v>3053.320912032455</v>
      </c>
      <c r="I78">
        <f t="shared" si="12"/>
        <v>2498.5722169172841</v>
      </c>
      <c r="J78">
        <f t="shared" si="13"/>
        <v>537.23059199177465</v>
      </c>
      <c r="K78">
        <f t="shared" si="14"/>
        <v>-1.9494080082253049</v>
      </c>
      <c r="L78">
        <f t="shared" si="15"/>
        <v>3.8001915825329506</v>
      </c>
    </row>
    <row r="79" spans="1:12" x14ac:dyDescent="0.25">
      <c r="A79" s="2">
        <v>42160</v>
      </c>
      <c r="B79">
        <v>536.35</v>
      </c>
      <c r="C79">
        <v>533.33000000000004</v>
      </c>
      <c r="D79" s="2"/>
      <c r="E79">
        <f t="shared" si="8"/>
        <v>1719.4360209688509</v>
      </c>
      <c r="F79">
        <f t="shared" si="9"/>
        <v>2503.3108184811699</v>
      </c>
      <c r="G79">
        <f t="shared" si="10"/>
        <v>3138.9963224346639</v>
      </c>
      <c r="H79">
        <f t="shared" si="11"/>
        <v>3039.1756884227175</v>
      </c>
      <c r="I79">
        <f t="shared" si="12"/>
        <v>2485.8609420821749</v>
      </c>
      <c r="J79">
        <f t="shared" si="13"/>
        <v>534.16800828749842</v>
      </c>
      <c r="K79">
        <f t="shared" si="14"/>
        <v>-6.1419917125015218</v>
      </c>
      <c r="L79">
        <f t="shared" si="15"/>
        <v>37.724062196437373</v>
      </c>
    </row>
    <row r="80" spans="1:12" x14ac:dyDescent="0.25">
      <c r="A80" s="2">
        <v>42163</v>
      </c>
      <c r="B80">
        <v>533.30999999999995</v>
      </c>
      <c r="C80">
        <v>526.83000000000004</v>
      </c>
      <c r="D80" s="2"/>
      <c r="E80">
        <f t="shared" si="8"/>
        <v>1734.939849325099</v>
      </c>
      <c r="F80">
        <f t="shared" si="9"/>
        <v>2520.2349860972454</v>
      </c>
      <c r="G80">
        <f t="shared" si="10"/>
        <v>3145.3393664681653</v>
      </c>
      <c r="H80">
        <f t="shared" si="11"/>
        <v>3055.0354410674404</v>
      </c>
      <c r="I80">
        <f t="shared" si="12"/>
        <v>2502.448937097025</v>
      </c>
      <c r="J80">
        <f t="shared" si="13"/>
        <v>538.6958759617205</v>
      </c>
      <c r="K80">
        <f t="shared" si="14"/>
        <v>1.9958759617204578</v>
      </c>
      <c r="L80">
        <f t="shared" si="15"/>
        <v>3.9835208545735621</v>
      </c>
    </row>
    <row r="81" spans="1:12" x14ac:dyDescent="0.25">
      <c r="A81" s="2">
        <v>42164</v>
      </c>
      <c r="B81">
        <v>527.55999999999995</v>
      </c>
      <c r="C81">
        <v>526.69000000000005</v>
      </c>
      <c r="D81" s="2"/>
      <c r="E81">
        <f t="shared" si="8"/>
        <v>1732.641654327015</v>
      </c>
      <c r="F81">
        <f t="shared" si="9"/>
        <v>2520.8050096324996</v>
      </c>
      <c r="G81">
        <f t="shared" si="10"/>
        <v>3154.8401149850588</v>
      </c>
      <c r="H81">
        <f t="shared" si="11"/>
        <v>3054.5962377343872</v>
      </c>
      <c r="I81">
        <f t="shared" si="12"/>
        <v>2502.029744228199</v>
      </c>
      <c r="J81">
        <f t="shared" si="13"/>
        <v>538.14999773813588</v>
      </c>
      <c r="K81">
        <f t="shared" si="14"/>
        <v>4.8199977381358394</v>
      </c>
      <c r="L81">
        <f t="shared" si="15"/>
        <v>23.23237819563461</v>
      </c>
    </row>
    <row r="82" spans="1:12" x14ac:dyDescent="0.25">
      <c r="A82" s="2">
        <v>42165</v>
      </c>
      <c r="B82">
        <v>529.36</v>
      </c>
      <c r="C82">
        <v>536.69000000000005</v>
      </c>
      <c r="D82" s="2"/>
      <c r="E82">
        <f t="shared" si="8"/>
        <v>1729.0033357241455</v>
      </c>
      <c r="F82">
        <f t="shared" si="9"/>
        <v>2516.0375978012003</v>
      </c>
      <c r="G82">
        <f t="shared" si="10"/>
        <v>3147.1895936549599</v>
      </c>
      <c r="H82">
        <f t="shared" si="11"/>
        <v>3054.2598559688754</v>
      </c>
      <c r="I82">
        <f t="shared" si="12"/>
        <v>2498.5678712130734</v>
      </c>
      <c r="J82">
        <f t="shared" si="13"/>
        <v>537.07738521434271</v>
      </c>
      <c r="K82">
        <f t="shared" si="14"/>
        <v>10.247385214342671</v>
      </c>
      <c r="L82">
        <f t="shared" si="15"/>
        <v>105.0089037311288</v>
      </c>
    </row>
    <row r="83" spans="1:12" x14ac:dyDescent="0.25">
      <c r="A83" s="2">
        <v>42166</v>
      </c>
      <c r="B83">
        <v>538.41999999999996</v>
      </c>
      <c r="C83">
        <v>534.61</v>
      </c>
      <c r="D83" s="2"/>
      <c r="E83">
        <f t="shared" si="8"/>
        <v>1720.2222272463896</v>
      </c>
      <c r="F83">
        <f t="shared" si="9"/>
        <v>2504.0881449184867</v>
      </c>
      <c r="G83">
        <f t="shared" si="10"/>
        <v>3140.2574914603642</v>
      </c>
      <c r="H83">
        <f t="shared" si="11"/>
        <v>3040.1092267171293</v>
      </c>
      <c r="I83">
        <f t="shared" si="12"/>
        <v>2486.7004638502526</v>
      </c>
      <c r="J83">
        <f t="shared" si="13"/>
        <v>534.39553676472246</v>
      </c>
      <c r="K83">
        <f t="shared" si="14"/>
        <v>7.7055367647224102</v>
      </c>
      <c r="L83">
        <f t="shared" si="15"/>
        <v>59.375296832488708</v>
      </c>
    </row>
    <row r="84" spans="1:12" x14ac:dyDescent="0.25">
      <c r="A84" s="2">
        <v>42167</v>
      </c>
      <c r="B84">
        <v>531.6</v>
      </c>
      <c r="C84">
        <v>532.33000000000004</v>
      </c>
      <c r="D84" s="2"/>
      <c r="E84">
        <f t="shared" si="8"/>
        <v>1703.8249866446608</v>
      </c>
      <c r="F84">
        <f t="shared" si="9"/>
        <v>2481.8980093468581</v>
      </c>
      <c r="G84">
        <f t="shared" si="10"/>
        <v>3117.4679048224048</v>
      </c>
      <c r="H84">
        <f t="shared" si="11"/>
        <v>3018.152041970246</v>
      </c>
      <c r="I84">
        <f t="shared" si="12"/>
        <v>2465.0763903239467</v>
      </c>
      <c r="J84">
        <f t="shared" si="13"/>
        <v>529.40325983855064</v>
      </c>
      <c r="K84">
        <f t="shared" si="14"/>
        <v>-7.2867401614494156</v>
      </c>
      <c r="L84">
        <f t="shared" si="15"/>
        <v>53.096582180479857</v>
      </c>
    </row>
    <row r="85" spans="1:12" x14ac:dyDescent="0.25">
      <c r="A85" s="2">
        <v>42170</v>
      </c>
      <c r="B85">
        <v>528</v>
      </c>
      <c r="C85">
        <v>527.20000000000005</v>
      </c>
      <c r="D85" s="2"/>
      <c r="E85">
        <f t="shared" si="8"/>
        <v>1704.8274164031006</v>
      </c>
      <c r="F85">
        <f t="shared" si="9"/>
        <v>2479.4835678015497</v>
      </c>
      <c r="G85">
        <f t="shared" si="10"/>
        <v>3105.5127387991179</v>
      </c>
      <c r="H85">
        <f t="shared" si="11"/>
        <v>3011.7336193312335</v>
      </c>
      <c r="I85">
        <f t="shared" si="12"/>
        <v>2462.5906397331441</v>
      </c>
      <c r="J85">
        <f t="shared" si="13"/>
        <v>529.52444493263874</v>
      </c>
      <c r="K85">
        <f t="shared" si="14"/>
        <v>-5.0855550673612697</v>
      </c>
      <c r="L85">
        <f t="shared" si="15"/>
        <v>25.862870343163888</v>
      </c>
    </row>
    <row r="86" spans="1:12" x14ac:dyDescent="0.25">
      <c r="A86" s="2">
        <v>42171</v>
      </c>
      <c r="B86">
        <v>528.4</v>
      </c>
      <c r="C86">
        <v>528.15</v>
      </c>
      <c r="D86" s="2"/>
      <c r="E86">
        <f t="shared" si="8"/>
        <v>1727.8262590831268</v>
      </c>
      <c r="F86">
        <f t="shared" si="9"/>
        <v>2508.1708568257445</v>
      </c>
      <c r="G86">
        <f t="shared" si="10"/>
        <v>3126.2508322840995</v>
      </c>
      <c r="H86">
        <f t="shared" si="11"/>
        <v>3035.5821965543919</v>
      </c>
      <c r="I86">
        <f t="shared" si="12"/>
        <v>2489.5212977869105</v>
      </c>
      <c r="J86">
        <f t="shared" si="13"/>
        <v>536.38583747317432</v>
      </c>
      <c r="K86">
        <f t="shared" si="14"/>
        <v>4.0558374731742788</v>
      </c>
      <c r="L86">
        <f t="shared" si="15"/>
        <v>16.449817608804718</v>
      </c>
    </row>
    <row r="87" spans="1:12" x14ac:dyDescent="0.25">
      <c r="A87" s="2">
        <v>42172</v>
      </c>
      <c r="B87">
        <v>529.37</v>
      </c>
      <c r="C87">
        <v>529.26</v>
      </c>
      <c r="D87" s="2"/>
      <c r="E87">
        <f t="shared" si="8"/>
        <v>1715.7028075218866</v>
      </c>
      <c r="F87">
        <f t="shared" si="9"/>
        <v>2498.5262276004423</v>
      </c>
      <c r="G87">
        <f t="shared" si="10"/>
        <v>3129.1481279545369</v>
      </c>
      <c r="H87">
        <f t="shared" si="11"/>
        <v>3029.4055732512984</v>
      </c>
      <c r="I87">
        <f t="shared" si="12"/>
        <v>2479.9064578455109</v>
      </c>
      <c r="J87">
        <f t="shared" si="13"/>
        <v>533.01410814667042</v>
      </c>
      <c r="K87">
        <f t="shared" si="14"/>
        <v>5.8141081466703781</v>
      </c>
      <c r="L87">
        <f t="shared" si="15"/>
        <v>33.80385354117886</v>
      </c>
    </row>
    <row r="88" spans="1:12" x14ac:dyDescent="0.25">
      <c r="A88" s="2">
        <v>42173</v>
      </c>
      <c r="B88">
        <v>531</v>
      </c>
      <c r="C88">
        <v>536.73</v>
      </c>
      <c r="D88" s="2"/>
      <c r="E88">
        <f t="shared" si="8"/>
        <v>1704.3427964973232</v>
      </c>
      <c r="F88">
        <f t="shared" si="9"/>
        <v>2481.8548031035371</v>
      </c>
      <c r="G88">
        <f t="shared" si="10"/>
        <v>3109.8824214246488</v>
      </c>
      <c r="H88">
        <f t="shared" si="11"/>
        <v>3016.8495485524568</v>
      </c>
      <c r="I88">
        <f t="shared" si="12"/>
        <v>2465.44273779785</v>
      </c>
      <c r="J88">
        <f t="shared" si="13"/>
        <v>529.53474478847374</v>
      </c>
      <c r="K88">
        <f t="shared" si="14"/>
        <v>1.3847447884737676</v>
      </c>
      <c r="L88">
        <f t="shared" si="15"/>
        <v>1.9175181292052594</v>
      </c>
    </row>
    <row r="89" spans="1:12" x14ac:dyDescent="0.25">
      <c r="A89" s="2">
        <v>42174</v>
      </c>
      <c r="B89">
        <v>537.21</v>
      </c>
      <c r="C89">
        <v>536.69000000000005</v>
      </c>
      <c r="D89" s="2"/>
      <c r="E89">
        <f t="shared" si="8"/>
        <v>1702.3690329806839</v>
      </c>
      <c r="F89">
        <f t="shared" si="9"/>
        <v>2476.4587329379128</v>
      </c>
      <c r="G89">
        <f t="shared" si="10"/>
        <v>3104.8677034367897</v>
      </c>
      <c r="H89">
        <f t="shared" si="11"/>
        <v>3006.1727108970449</v>
      </c>
      <c r="I89">
        <f t="shared" si="12"/>
        <v>2459.3658946552277</v>
      </c>
      <c r="J89">
        <f t="shared" si="13"/>
        <v>528.78399991724234</v>
      </c>
      <c r="K89">
        <f t="shared" si="14"/>
        <v>-0.47600008275765049</v>
      </c>
      <c r="L89">
        <f t="shared" si="15"/>
        <v>0.22657607878529012</v>
      </c>
    </row>
    <row r="90" spans="1:12" x14ac:dyDescent="0.25">
      <c r="A90" s="2">
        <v>42177</v>
      </c>
      <c r="B90">
        <v>539.59</v>
      </c>
      <c r="C90">
        <v>538.19000000000005</v>
      </c>
      <c r="D90" s="2"/>
      <c r="E90">
        <f t="shared" si="8"/>
        <v>1704.4799951215798</v>
      </c>
      <c r="F90">
        <f t="shared" si="9"/>
        <v>2478.807875850131</v>
      </c>
      <c r="G90">
        <f t="shared" si="10"/>
        <v>3101.9139609775825</v>
      </c>
      <c r="H90">
        <f t="shared" si="11"/>
        <v>3007.6622715366325</v>
      </c>
      <c r="I90">
        <f t="shared" si="12"/>
        <v>2461.0843520600279</v>
      </c>
      <c r="J90">
        <f t="shared" si="13"/>
        <v>529.38903931511516</v>
      </c>
      <c r="K90">
        <f t="shared" si="14"/>
        <v>-7.3409606848848625</v>
      </c>
      <c r="L90">
        <f t="shared" si="15"/>
        <v>53.889703777025233</v>
      </c>
    </row>
    <row r="91" spans="1:12" x14ac:dyDescent="0.25">
      <c r="A91" s="2">
        <v>42178</v>
      </c>
      <c r="B91">
        <v>539.64</v>
      </c>
      <c r="C91">
        <v>540.48</v>
      </c>
      <c r="D91" s="2"/>
      <c r="E91">
        <f t="shared" si="8"/>
        <v>1709.1862904321927</v>
      </c>
      <c r="F91">
        <f t="shared" si="9"/>
        <v>2485.2311637515431</v>
      </c>
      <c r="G91">
        <f t="shared" si="10"/>
        <v>3105.8789117208917</v>
      </c>
      <c r="H91">
        <f t="shared" si="11"/>
        <v>3013.1536303831476</v>
      </c>
      <c r="I91">
        <f t="shared" si="12"/>
        <v>2467.3375202621487</v>
      </c>
      <c r="J91">
        <f t="shared" si="13"/>
        <v>530.82437067309456</v>
      </c>
      <c r="K91">
        <f t="shared" si="14"/>
        <v>-5.8656293269054913</v>
      </c>
      <c r="L91">
        <f t="shared" si="15"/>
        <v>34.405607400653764</v>
      </c>
    </row>
    <row r="92" spans="1:12" x14ac:dyDescent="0.25">
      <c r="A92" s="2">
        <v>42179</v>
      </c>
      <c r="B92">
        <v>540</v>
      </c>
      <c r="C92">
        <v>537.84</v>
      </c>
      <c r="D92" s="2"/>
      <c r="E92">
        <f t="shared" si="8"/>
        <v>1725.9237675979864</v>
      </c>
      <c r="F92">
        <f t="shared" si="9"/>
        <v>2506.9874427218056</v>
      </c>
      <c r="G92">
        <f t="shared" si="10"/>
        <v>3125.0066568069469</v>
      </c>
      <c r="H92">
        <f t="shared" si="11"/>
        <v>3034.6248990572922</v>
      </c>
      <c r="I92">
        <f t="shared" si="12"/>
        <v>2488.5520500751677</v>
      </c>
      <c r="J92">
        <f t="shared" si="13"/>
        <v>535.87764068358638</v>
      </c>
      <c r="K92">
        <f t="shared" si="14"/>
        <v>-2.3123593164136764</v>
      </c>
      <c r="L92">
        <f t="shared" si="15"/>
        <v>5.3470056082051247</v>
      </c>
    </row>
    <row r="93" spans="1:12" x14ac:dyDescent="0.25">
      <c r="A93" s="2">
        <v>42180</v>
      </c>
      <c r="B93">
        <v>538.87</v>
      </c>
      <c r="C93">
        <v>535.23</v>
      </c>
      <c r="D93" s="2"/>
      <c r="E93">
        <f t="shared" si="8"/>
        <v>1735.5263633088318</v>
      </c>
      <c r="F93">
        <f t="shared" si="9"/>
        <v>2522.5894950625152</v>
      </c>
      <c r="G93">
        <f t="shared" si="10"/>
        <v>3146.8630055401127</v>
      </c>
      <c r="H93">
        <f t="shared" si="11"/>
        <v>3052.5801055292991</v>
      </c>
      <c r="I93">
        <f t="shared" si="12"/>
        <v>2503.6247465291635</v>
      </c>
      <c r="J93">
        <f t="shared" si="13"/>
        <v>538.92323910859511</v>
      </c>
      <c r="K93">
        <f t="shared" si="14"/>
        <v>-1.556760891404906</v>
      </c>
      <c r="L93">
        <f t="shared" si="15"/>
        <v>2.4235044730077977</v>
      </c>
    </row>
    <row r="94" spans="1:12" x14ac:dyDescent="0.25">
      <c r="A94" s="2">
        <v>42181</v>
      </c>
      <c r="B94">
        <v>537.26</v>
      </c>
      <c r="C94">
        <v>531.69000000000005</v>
      </c>
      <c r="D94" s="2"/>
      <c r="E94">
        <f t="shared" si="8"/>
        <v>1737.8905366364945</v>
      </c>
      <c r="F94">
        <f t="shared" si="9"/>
        <v>2527.697874537273</v>
      </c>
      <c r="G94">
        <f t="shared" si="10"/>
        <v>3156.7089948147122</v>
      </c>
      <c r="H94">
        <f t="shared" si="11"/>
        <v>3062.7302170972348</v>
      </c>
      <c r="I94">
        <f t="shared" si="12"/>
        <v>2509.3978933153003</v>
      </c>
      <c r="J94">
        <f t="shared" si="13"/>
        <v>539.753154379031</v>
      </c>
      <c r="K94">
        <f t="shared" si="14"/>
        <v>1.9131543790309706</v>
      </c>
      <c r="L94">
        <f t="shared" si="15"/>
        <v>3.6601596780053787</v>
      </c>
    </row>
    <row r="95" spans="1:12" x14ac:dyDescent="0.25">
      <c r="A95" s="2">
        <v>42184</v>
      </c>
      <c r="B95">
        <v>525.01</v>
      </c>
      <c r="C95">
        <v>521.52</v>
      </c>
      <c r="D95" s="2"/>
      <c r="E95">
        <f t="shared" si="8"/>
        <v>1739.1970821770958</v>
      </c>
      <c r="F95">
        <f t="shared" si="9"/>
        <v>2529.6649035863124</v>
      </c>
      <c r="G95">
        <f t="shared" si="10"/>
        <v>3162.8664010262337</v>
      </c>
      <c r="H95">
        <f t="shared" si="11"/>
        <v>3066.630301328762</v>
      </c>
      <c r="I95">
        <f t="shared" si="12"/>
        <v>2511.6676719498973</v>
      </c>
      <c r="J95">
        <f t="shared" si="13"/>
        <v>540.16871497810132</v>
      </c>
      <c r="K95">
        <f t="shared" si="14"/>
        <v>4.9387149781013022</v>
      </c>
      <c r="L95">
        <f t="shared" si="15"/>
        <v>24.390905634922145</v>
      </c>
    </row>
    <row r="96" spans="1:12" x14ac:dyDescent="0.25">
      <c r="A96" s="2">
        <v>42185</v>
      </c>
      <c r="B96">
        <v>526.02</v>
      </c>
      <c r="C96">
        <v>520.51</v>
      </c>
      <c r="D96" s="2"/>
      <c r="E96">
        <f t="shared" si="8"/>
        <v>1736.5384047779492</v>
      </c>
      <c r="F96">
        <f t="shared" si="9"/>
        <v>2526.5856882393541</v>
      </c>
      <c r="G96">
        <f t="shared" si="10"/>
        <v>3162.6733239397813</v>
      </c>
      <c r="H96">
        <f t="shared" si="11"/>
        <v>3064.9304862600725</v>
      </c>
      <c r="I96">
        <f t="shared" si="12"/>
        <v>2508.660376094846</v>
      </c>
      <c r="J96">
        <f t="shared" si="13"/>
        <v>539.38398994717363</v>
      </c>
      <c r="K96">
        <f t="shared" si="14"/>
        <v>7.6939899471735771</v>
      </c>
      <c r="L96">
        <f t="shared" si="15"/>
        <v>59.197481307208065</v>
      </c>
    </row>
    <row r="97" spans="1:12" x14ac:dyDescent="0.25">
      <c r="A97" s="2">
        <v>42186</v>
      </c>
      <c r="B97">
        <v>524.73</v>
      </c>
      <c r="C97">
        <v>521.84</v>
      </c>
      <c r="D97" s="2"/>
      <c r="E97">
        <f t="shared" si="8"/>
        <v>1731.9147454024016</v>
      </c>
      <c r="F97">
        <f t="shared" si="9"/>
        <v>2520.2773963408822</v>
      </c>
      <c r="G97">
        <f t="shared" si="10"/>
        <v>3156.4097362968823</v>
      </c>
      <c r="H97">
        <f t="shared" si="11"/>
        <v>3059.2296094778258</v>
      </c>
      <c r="I97">
        <f t="shared" si="12"/>
        <v>2502.6428093360878</v>
      </c>
      <c r="J97">
        <f t="shared" si="13"/>
        <v>537.97685038746283</v>
      </c>
      <c r="K97">
        <f t="shared" si="14"/>
        <v>16.45685038746285</v>
      </c>
      <c r="L97">
        <f t="shared" si="15"/>
        <v>270.82792467533619</v>
      </c>
    </row>
    <row r="98" spans="1:12" x14ac:dyDescent="0.25">
      <c r="A98" s="2">
        <v>42187</v>
      </c>
      <c r="B98">
        <v>521.08000000000004</v>
      </c>
      <c r="C98">
        <v>523.4</v>
      </c>
      <c r="D98" s="2"/>
      <c r="E98">
        <f t="shared" si="8"/>
        <v>1699.8796387325303</v>
      </c>
      <c r="F98">
        <f t="shared" si="9"/>
        <v>2479.5862885530055</v>
      </c>
      <c r="G98">
        <f t="shared" si="10"/>
        <v>3123.6521133531342</v>
      </c>
      <c r="H98">
        <f t="shared" si="11"/>
        <v>3018.7117337535251</v>
      </c>
      <c r="I98">
        <f t="shared" si="12"/>
        <v>2462.9878299349803</v>
      </c>
      <c r="J98">
        <f t="shared" si="13"/>
        <v>528.35113629141165</v>
      </c>
      <c r="K98">
        <f t="shared" si="14"/>
        <v>7.841136291411658</v>
      </c>
      <c r="L98">
        <f t="shared" si="15"/>
        <v>61.483418340492968</v>
      </c>
    </row>
    <row r="99" spans="1:12" x14ac:dyDescent="0.25">
      <c r="A99" s="2">
        <v>42191</v>
      </c>
      <c r="B99">
        <v>519.5</v>
      </c>
      <c r="C99">
        <v>522.86</v>
      </c>
      <c r="D99" s="2"/>
      <c r="E99">
        <f t="shared" si="8"/>
        <v>1695.621576486715</v>
      </c>
      <c r="F99">
        <f t="shared" si="9"/>
        <v>2467.1924810618102</v>
      </c>
      <c r="G99">
        <f t="shared" si="10"/>
        <v>3095.1313553759082</v>
      </c>
      <c r="H99">
        <f t="shared" si="11"/>
        <v>3002.395194965161</v>
      </c>
      <c r="I99">
        <f t="shared" si="12"/>
        <v>2451.3762309656186</v>
      </c>
      <c r="J99">
        <f t="shared" si="13"/>
        <v>526.74745855720903</v>
      </c>
      <c r="K99">
        <f t="shared" si="14"/>
        <v>4.9074585572089973</v>
      </c>
      <c r="L99">
        <f t="shared" si="15"/>
        <v>24.083149490723812</v>
      </c>
    </row>
    <row r="100" spans="1:12" x14ac:dyDescent="0.25">
      <c r="A100" s="2">
        <v>42192</v>
      </c>
      <c r="B100">
        <v>523.13</v>
      </c>
      <c r="C100">
        <v>525.02</v>
      </c>
      <c r="D100" s="2"/>
      <c r="E100">
        <f t="shared" si="8"/>
        <v>1691.0003154650969</v>
      </c>
      <c r="F100">
        <f t="shared" si="9"/>
        <v>2460.3850659654604</v>
      </c>
      <c r="G100">
        <f t="shared" si="10"/>
        <v>3087.6574393743176</v>
      </c>
      <c r="H100">
        <f t="shared" si="11"/>
        <v>2987.198324536314</v>
      </c>
      <c r="I100">
        <f t="shared" si="12"/>
        <v>2442.8486144169374</v>
      </c>
      <c r="J100">
        <f t="shared" si="13"/>
        <v>525.26976001070204</v>
      </c>
      <c r="K100">
        <f t="shared" si="14"/>
        <v>1.8697600107020662</v>
      </c>
      <c r="L100">
        <f t="shared" si="15"/>
        <v>3.4960024976205908</v>
      </c>
    </row>
    <row r="101" spans="1:12" x14ac:dyDescent="0.25">
      <c r="A101" s="2">
        <v>42193</v>
      </c>
      <c r="B101">
        <v>521.04999999999995</v>
      </c>
      <c r="C101">
        <v>516.83000000000004</v>
      </c>
      <c r="D101" s="2"/>
      <c r="E101">
        <f t="shared" si="8"/>
        <v>1681.2296392077101</v>
      </c>
      <c r="F101">
        <f t="shared" si="9"/>
        <v>2447.7073600753683</v>
      </c>
      <c r="G101">
        <f t="shared" si="10"/>
        <v>3068.5074819149804</v>
      </c>
      <c r="H101">
        <f t="shared" si="11"/>
        <v>2975.0306466443876</v>
      </c>
      <c r="I101">
        <f t="shared" si="12"/>
        <v>2430.7435846609892</v>
      </c>
      <c r="J101">
        <f t="shared" si="13"/>
        <v>522.32694534607026</v>
      </c>
      <c r="K101">
        <f t="shared" si="14"/>
        <v>-0.53305465392975293</v>
      </c>
      <c r="L101">
        <f t="shared" si="15"/>
        <v>0.28414726407616864</v>
      </c>
    </row>
    <row r="102" spans="1:12" x14ac:dyDescent="0.25">
      <c r="A102" s="2">
        <v>42194</v>
      </c>
      <c r="B102">
        <v>523.12</v>
      </c>
      <c r="C102">
        <v>520.67999999999995</v>
      </c>
      <c r="D102" s="2"/>
      <c r="E102">
        <f t="shared" si="8"/>
        <v>1675.0758335500652</v>
      </c>
      <c r="F102">
        <f t="shared" si="9"/>
        <v>2437.8614593625589</v>
      </c>
      <c r="G102">
        <f t="shared" si="10"/>
        <v>3056.1145269338017</v>
      </c>
      <c r="H102">
        <f t="shared" si="11"/>
        <v>2961.3795938940675</v>
      </c>
      <c r="I102">
        <f t="shared" si="12"/>
        <v>2421.1772245527445</v>
      </c>
      <c r="J102">
        <f t="shared" si="13"/>
        <v>520.38120119171219</v>
      </c>
      <c r="K102">
        <f t="shared" si="14"/>
        <v>-4.6387988082877882</v>
      </c>
      <c r="L102">
        <f t="shared" si="15"/>
        <v>21.518454383772205</v>
      </c>
    </row>
    <row r="103" spans="1:12" x14ac:dyDescent="0.25">
      <c r="A103" s="2">
        <v>42195</v>
      </c>
      <c r="B103">
        <v>526.29</v>
      </c>
      <c r="C103">
        <v>530.13</v>
      </c>
      <c r="D103" s="2"/>
      <c r="E103">
        <f t="shared" si="8"/>
        <v>1682.8488816043387</v>
      </c>
      <c r="F103">
        <f t="shared" si="9"/>
        <v>2446.091719610537</v>
      </c>
      <c r="G103">
        <f t="shared" si="10"/>
        <v>3058.2179350641391</v>
      </c>
      <c r="H103">
        <f t="shared" si="11"/>
        <v>2966.503598747197</v>
      </c>
      <c r="I103">
        <f t="shared" si="12"/>
        <v>2428.7186083543766</v>
      </c>
      <c r="J103">
        <f t="shared" si="13"/>
        <v>522.62679382575504</v>
      </c>
      <c r="K103">
        <f t="shared" si="14"/>
        <v>5.7967938257550031</v>
      </c>
      <c r="L103">
        <f t="shared" si="15"/>
        <v>33.602818658311328</v>
      </c>
    </row>
    <row r="104" spans="1:12" x14ac:dyDescent="0.25">
      <c r="A104" s="2">
        <v>42198</v>
      </c>
      <c r="B104">
        <v>532.88</v>
      </c>
      <c r="C104">
        <v>546.54999999999995</v>
      </c>
      <c r="D104" s="2"/>
      <c r="E104">
        <f t="shared" si="8"/>
        <v>1679.2859967975785</v>
      </c>
      <c r="F104">
        <f t="shared" si="9"/>
        <v>2443.517061401024</v>
      </c>
      <c r="G104">
        <f t="shared" si="10"/>
        <v>3058.9255583733247</v>
      </c>
      <c r="H104">
        <f t="shared" si="11"/>
        <v>2963.6295104813939</v>
      </c>
      <c r="I104">
        <f t="shared" si="12"/>
        <v>2425.772866195136</v>
      </c>
      <c r="J104">
        <f t="shared" si="13"/>
        <v>521.63965593902651</v>
      </c>
      <c r="K104">
        <f t="shared" si="14"/>
        <v>0.9596559390265611</v>
      </c>
      <c r="L104">
        <f t="shared" si="15"/>
        <v>0.92093952130895074</v>
      </c>
    </row>
    <row r="105" spans="1:12" x14ac:dyDescent="0.25">
      <c r="A105" s="2">
        <v>42199</v>
      </c>
      <c r="B105">
        <v>546.76</v>
      </c>
      <c r="C105">
        <v>561.1</v>
      </c>
      <c r="D105" s="2"/>
      <c r="E105">
        <f t="shared" si="8"/>
        <v>1683.9718225564391</v>
      </c>
      <c r="F105">
        <f t="shared" si="9"/>
        <v>2448.632785723205</v>
      </c>
      <c r="G105">
        <f t="shared" si="10"/>
        <v>3059.4639033052945</v>
      </c>
      <c r="H105">
        <f t="shared" si="11"/>
        <v>2969.9163781699908</v>
      </c>
      <c r="I105">
        <f t="shared" si="12"/>
        <v>2431.4129101615868</v>
      </c>
      <c r="J105">
        <f t="shared" si="13"/>
        <v>523.02276919328722</v>
      </c>
      <c r="K105">
        <f t="shared" si="14"/>
        <v>-7.1072308067127778</v>
      </c>
      <c r="L105">
        <f t="shared" si="15"/>
        <v>50.512729739887163</v>
      </c>
    </row>
    <row r="106" spans="1:12" x14ac:dyDescent="0.25">
      <c r="A106" s="2">
        <v>42200</v>
      </c>
      <c r="B106">
        <v>560.13</v>
      </c>
      <c r="C106">
        <v>560.22</v>
      </c>
      <c r="D106" s="2"/>
      <c r="E106">
        <f t="shared" si="8"/>
        <v>1692.7800658287836</v>
      </c>
      <c r="F106">
        <f t="shared" si="9"/>
        <v>2460.4147444139553</v>
      </c>
      <c r="G106">
        <f t="shared" si="10"/>
        <v>3073.2126948284363</v>
      </c>
      <c r="H106">
        <f t="shared" si="11"/>
        <v>2980.0820660672357</v>
      </c>
      <c r="I106">
        <f t="shared" si="12"/>
        <v>2442.4415052458262</v>
      </c>
      <c r="J106">
        <f t="shared" si="13"/>
        <v>525.68732828694249</v>
      </c>
      <c r="K106">
        <f t="shared" si="14"/>
        <v>-20.862671713057466</v>
      </c>
      <c r="L106">
        <f t="shared" si="15"/>
        <v>435.25107100680816</v>
      </c>
    </row>
    <row r="107" spans="1:12" x14ac:dyDescent="0.25">
      <c r="A107" s="2">
        <v>42201</v>
      </c>
      <c r="B107">
        <v>565.12</v>
      </c>
      <c r="C107">
        <v>579.85</v>
      </c>
      <c r="D107" s="2"/>
      <c r="E107">
        <f t="shared" si="8"/>
        <v>1711.4747733111801</v>
      </c>
      <c r="F107">
        <f t="shared" si="9"/>
        <v>2485.6097914587554</v>
      </c>
      <c r="G107">
        <f t="shared" si="10"/>
        <v>3095.8204602966271</v>
      </c>
      <c r="H107">
        <f t="shared" si="11"/>
        <v>3007.3952562999625</v>
      </c>
      <c r="I107">
        <f t="shared" si="12"/>
        <v>2467.0804421618968</v>
      </c>
      <c r="J107">
        <f t="shared" si="13"/>
        <v>531.37610797887123</v>
      </c>
      <c r="K107">
        <f t="shared" si="14"/>
        <v>-29.72389202112879</v>
      </c>
      <c r="L107">
        <f t="shared" si="15"/>
        <v>883.50975688372375</v>
      </c>
    </row>
    <row r="108" spans="1:12" x14ac:dyDescent="0.25">
      <c r="A108" s="2">
        <v>42202</v>
      </c>
      <c r="B108">
        <v>649</v>
      </c>
      <c r="C108">
        <v>672.93</v>
      </c>
      <c r="D108" s="2"/>
      <c r="E108">
        <f t="shared" si="8"/>
        <v>1750.6191111959452</v>
      </c>
      <c r="F108">
        <f t="shared" si="9"/>
        <v>2538.1803913904523</v>
      </c>
      <c r="G108">
        <f t="shared" si="10"/>
        <v>3146.8851776747183</v>
      </c>
      <c r="H108">
        <f t="shared" si="11"/>
        <v>3061.788567974947</v>
      </c>
      <c r="I108">
        <f t="shared" si="12"/>
        <v>2518.3184685478318</v>
      </c>
      <c r="J108">
        <f t="shared" si="13"/>
        <v>543.27480057822015</v>
      </c>
      <c r="K108">
        <f t="shared" si="14"/>
        <v>-16.945199421779876</v>
      </c>
      <c r="L108">
        <f t="shared" si="15"/>
        <v>287.13978344388903</v>
      </c>
    </row>
    <row r="109" spans="1:12" x14ac:dyDescent="0.25">
      <c r="A109" s="2">
        <v>42205</v>
      </c>
      <c r="B109">
        <v>659.24</v>
      </c>
      <c r="C109">
        <v>663.02</v>
      </c>
      <c r="D109" s="2"/>
      <c r="E109">
        <f t="shared" si="8"/>
        <v>1792.9093299548297</v>
      </c>
      <c r="F109">
        <f t="shared" si="9"/>
        <v>2599.2171717754222</v>
      </c>
      <c r="G109">
        <f t="shared" si="10"/>
        <v>3216.5868124192466</v>
      </c>
      <c r="H109">
        <f t="shared" si="11"/>
        <v>3129.4931944927807</v>
      </c>
      <c r="I109">
        <f t="shared" si="12"/>
        <v>2577.8991487279482</v>
      </c>
      <c r="J109">
        <f t="shared" si="13"/>
        <v>556.33536040102513</v>
      </c>
      <c r="K109">
        <f t="shared" si="14"/>
        <v>-23.514639598974895</v>
      </c>
      <c r="L109">
        <f t="shared" si="15"/>
        <v>552.93827546967827</v>
      </c>
    </row>
    <row r="110" spans="1:12" x14ac:dyDescent="0.25">
      <c r="A110" s="2">
        <v>42206</v>
      </c>
      <c r="B110">
        <v>655.21</v>
      </c>
      <c r="C110">
        <v>662.3</v>
      </c>
      <c r="D110" s="2"/>
      <c r="E110">
        <f t="shared" si="8"/>
        <v>1814.8512685311944</v>
      </c>
      <c r="F110">
        <f t="shared" si="9"/>
        <v>2635.7817844388701</v>
      </c>
      <c r="G110">
        <f t="shared" si="10"/>
        <v>3271.212478338769</v>
      </c>
      <c r="H110">
        <f t="shared" si="11"/>
        <v>3178.7992360674612</v>
      </c>
      <c r="I110">
        <f t="shared" si="12"/>
        <v>2614.8090832403086</v>
      </c>
      <c r="J110">
        <f t="shared" si="13"/>
        <v>563.37520104423561</v>
      </c>
      <c r="K110">
        <f t="shared" si="14"/>
        <v>-109.55479895576434</v>
      </c>
      <c r="L110">
        <f t="shared" si="15"/>
        <v>12002.253974237943</v>
      </c>
    </row>
    <row r="111" spans="1:12" x14ac:dyDescent="0.25">
      <c r="A111" s="2">
        <v>42207</v>
      </c>
      <c r="B111">
        <v>660.89</v>
      </c>
      <c r="C111">
        <v>662.1</v>
      </c>
      <c r="D111" s="2"/>
      <c r="E111">
        <f t="shared" si="8"/>
        <v>2031.8460980323814</v>
      </c>
      <c r="F111">
        <f t="shared" si="9"/>
        <v>2908.8480432354936</v>
      </c>
      <c r="G111">
        <f t="shared" si="10"/>
        <v>3494.4252095780807</v>
      </c>
      <c r="H111">
        <f t="shared" si="11"/>
        <v>3454.5262844961112</v>
      </c>
      <c r="I111">
        <f t="shared" si="12"/>
        <v>2882.1216254345982</v>
      </c>
      <c r="J111">
        <f t="shared" si="13"/>
        <v>628.4815735336274</v>
      </c>
      <c r="K111">
        <f t="shared" si="14"/>
        <v>-34.538426466372584</v>
      </c>
      <c r="L111">
        <f t="shared" si="15"/>
        <v>1192.9029027730262</v>
      </c>
    </row>
    <row r="112" spans="1:12" x14ac:dyDescent="0.25">
      <c r="A112" s="2">
        <v>42208</v>
      </c>
      <c r="B112">
        <v>661.27</v>
      </c>
      <c r="C112">
        <v>644.28</v>
      </c>
      <c r="D112" s="2"/>
      <c r="E112">
        <f t="shared" si="8"/>
        <v>2103.4783738562551</v>
      </c>
      <c r="F112">
        <f t="shared" si="9"/>
        <v>3045.4411006449986</v>
      </c>
      <c r="G112">
        <f t="shared" si="10"/>
        <v>3730.5775644348587</v>
      </c>
      <c r="H112">
        <f t="shared" si="11"/>
        <v>3614.9341706703062</v>
      </c>
      <c r="I112">
        <f t="shared" si="12"/>
        <v>3011.0273832055927</v>
      </c>
      <c r="J112">
        <f t="shared" si="13"/>
        <v>652.09502097023881</v>
      </c>
      <c r="K112">
        <f t="shared" si="14"/>
        <v>-10.204979029761148</v>
      </c>
      <c r="L112">
        <f t="shared" si="15"/>
        <v>104.14159699786478</v>
      </c>
    </row>
    <row r="113" spans="1:12" x14ac:dyDescent="0.25">
      <c r="A113" s="2">
        <v>42209</v>
      </c>
      <c r="B113">
        <v>647</v>
      </c>
      <c r="C113">
        <v>623.55999999999995</v>
      </c>
      <c r="D113" s="2"/>
      <c r="E113">
        <f t="shared" si="8"/>
        <v>2111.7662510324712</v>
      </c>
      <c r="F113">
        <f t="shared" si="9"/>
        <v>3072.8357220997214</v>
      </c>
      <c r="G113">
        <f t="shared" si="10"/>
        <v>3788.9141004331286</v>
      </c>
      <c r="H113">
        <f t="shared" si="11"/>
        <v>3706.0522853444377</v>
      </c>
      <c r="I113">
        <f t="shared" si="12"/>
        <v>3049.7685468117343</v>
      </c>
      <c r="J113">
        <f t="shared" si="13"/>
        <v>655.67538527512659</v>
      </c>
      <c r="K113">
        <f t="shared" si="14"/>
        <v>-6.424614724873436</v>
      </c>
      <c r="L113">
        <f t="shared" si="15"/>
        <v>41.275674363060574</v>
      </c>
    </row>
    <row r="114" spans="1:12" x14ac:dyDescent="0.25">
      <c r="A114" s="2">
        <v>42212</v>
      </c>
      <c r="B114">
        <v>621</v>
      </c>
      <c r="C114">
        <v>627.26</v>
      </c>
      <c r="D114" s="2"/>
      <c r="E114">
        <f t="shared" si="8"/>
        <v>2125.566210004542</v>
      </c>
      <c r="F114">
        <f t="shared" si="9"/>
        <v>3089.0224387898402</v>
      </c>
      <c r="G114">
        <f t="shared" si="10"/>
        <v>3852.2821123227618</v>
      </c>
      <c r="H114">
        <f t="shared" si="11"/>
        <v>3728.785022176608</v>
      </c>
      <c r="I114">
        <f t="shared" si="12"/>
        <v>3067.283364539041</v>
      </c>
      <c r="J114">
        <f t="shared" si="13"/>
        <v>659.79810724606159</v>
      </c>
      <c r="K114">
        <f t="shared" si="14"/>
        <v>15.518107246061618</v>
      </c>
      <c r="L114">
        <f t="shared" si="15"/>
        <v>240.8116525002701</v>
      </c>
    </row>
    <row r="115" spans="1:12" x14ac:dyDescent="0.25">
      <c r="A115" s="2">
        <v>42213</v>
      </c>
      <c r="B115">
        <v>632.83000000000004</v>
      </c>
      <c r="C115">
        <v>628</v>
      </c>
      <c r="D115" s="2"/>
      <c r="E115">
        <f t="shared" si="8"/>
        <v>2128.9469993478028</v>
      </c>
      <c r="F115">
        <f t="shared" si="9"/>
        <v>3095.861694950479</v>
      </c>
      <c r="G115">
        <f t="shared" si="10"/>
        <v>3871.5721388805805</v>
      </c>
      <c r="H115">
        <f t="shared" si="11"/>
        <v>3749.4779281493597</v>
      </c>
      <c r="I115">
        <f t="shared" si="12"/>
        <v>3073.0083298713525</v>
      </c>
      <c r="J115">
        <f t="shared" si="13"/>
        <v>660.91412107130327</v>
      </c>
      <c r="K115">
        <f t="shared" si="14"/>
        <v>37.354121071303325</v>
      </c>
      <c r="L115">
        <f t="shared" si="15"/>
        <v>1395.330361009587</v>
      </c>
    </row>
    <row r="116" spans="1:12" x14ac:dyDescent="0.25">
      <c r="A116" s="2">
        <v>42214</v>
      </c>
      <c r="B116">
        <v>628.79999999999995</v>
      </c>
      <c r="C116">
        <v>631.92999999999995</v>
      </c>
      <c r="D116" s="2"/>
      <c r="E116">
        <f t="shared" si="8"/>
        <v>2093.9221540162498</v>
      </c>
      <c r="F116">
        <f t="shared" si="9"/>
        <v>3053.517124801162</v>
      </c>
      <c r="G116">
        <f t="shared" si="10"/>
        <v>3839.2389926805749</v>
      </c>
      <c r="H116">
        <f t="shared" si="11"/>
        <v>3714.5971980827594</v>
      </c>
      <c r="I116">
        <f t="shared" si="12"/>
        <v>3032.6626815233581</v>
      </c>
      <c r="J116">
        <f t="shared" si="13"/>
        <v>650.5144033177196</v>
      </c>
      <c r="K116">
        <f t="shared" si="14"/>
        <v>23.254403317719607</v>
      </c>
      <c r="L116">
        <f t="shared" si="15"/>
        <v>540.76727366316868</v>
      </c>
    </row>
    <row r="117" spans="1:12" x14ac:dyDescent="0.25">
      <c r="A117" s="2">
        <v>42215</v>
      </c>
      <c r="B117">
        <v>630</v>
      </c>
      <c r="C117">
        <v>632.59</v>
      </c>
      <c r="D117" s="2"/>
      <c r="E117">
        <f t="shared" si="8"/>
        <v>2020.5442176539029</v>
      </c>
      <c r="F117">
        <f t="shared" si="9"/>
        <v>2954.7469114076603</v>
      </c>
      <c r="G117">
        <f t="shared" si="10"/>
        <v>3748.2299488355065</v>
      </c>
      <c r="H117">
        <f t="shared" si="11"/>
        <v>3614.9298054769338</v>
      </c>
      <c r="I117">
        <f t="shared" si="12"/>
        <v>2937.4588950677039</v>
      </c>
      <c r="J117">
        <f t="shared" si="13"/>
        <v>628.22376377070952</v>
      </c>
      <c r="K117">
        <f t="shared" si="14"/>
        <v>0.22376377070952458</v>
      </c>
      <c r="L117">
        <f t="shared" si="15"/>
        <v>5.007022508214469E-2</v>
      </c>
    </row>
    <row r="118" spans="1:12" x14ac:dyDescent="0.25">
      <c r="A118" s="2">
        <v>42216</v>
      </c>
      <c r="B118">
        <v>631.38</v>
      </c>
      <c r="C118">
        <v>625.61</v>
      </c>
      <c r="D118" s="2"/>
      <c r="E118">
        <f t="shared" si="8"/>
        <v>2034.335107824528</v>
      </c>
      <c r="F118">
        <f t="shared" si="9"/>
        <v>2955.2115423497385</v>
      </c>
      <c r="G118">
        <f t="shared" si="10"/>
        <v>3706.9594568956995</v>
      </c>
      <c r="H118">
        <f t="shared" si="11"/>
        <v>3599.3605792445251</v>
      </c>
      <c r="I118">
        <f t="shared" si="12"/>
        <v>2937.2095496959005</v>
      </c>
      <c r="J118">
        <f t="shared" si="13"/>
        <v>631.53307836277077</v>
      </c>
      <c r="K118">
        <f t="shared" si="14"/>
        <v>-0.39692163722918394</v>
      </c>
      <c r="L118">
        <f t="shared" si="15"/>
        <v>0.15754678610069589</v>
      </c>
    </row>
    <row r="119" spans="1:12" x14ac:dyDescent="0.25">
      <c r="A119" s="2">
        <v>42219</v>
      </c>
      <c r="B119">
        <v>625.34</v>
      </c>
      <c r="C119">
        <v>631.21</v>
      </c>
      <c r="D119" s="2"/>
      <c r="E119">
        <f t="shared" si="8"/>
        <v>2026.4478468437674</v>
      </c>
      <c r="F119">
        <f t="shared" si="9"/>
        <v>2948.6020931626572</v>
      </c>
      <c r="G119">
        <f t="shared" si="10"/>
        <v>3704.2028598597208</v>
      </c>
      <c r="H119">
        <f t="shared" si="11"/>
        <v>3577.7747882091439</v>
      </c>
      <c r="I119">
        <f t="shared" si="12"/>
        <v>2926.1920571605447</v>
      </c>
      <c r="J119">
        <f t="shared" si="13"/>
        <v>629.21999912281376</v>
      </c>
      <c r="K119">
        <f t="shared" si="14"/>
        <v>-3.3700008771862713</v>
      </c>
      <c r="L119">
        <f t="shared" si="15"/>
        <v>11.356905912236238</v>
      </c>
    </row>
    <row r="120" spans="1:12" x14ac:dyDescent="0.25">
      <c r="A120" s="2">
        <v>42220</v>
      </c>
      <c r="B120">
        <v>628.41999999999996</v>
      </c>
      <c r="C120">
        <v>629.25</v>
      </c>
      <c r="D120" s="2"/>
      <c r="E120">
        <f t="shared" si="8"/>
        <v>2029.15796946355</v>
      </c>
      <c r="F120">
        <f t="shared" si="9"/>
        <v>2951.2853291534489</v>
      </c>
      <c r="G120">
        <f t="shared" si="10"/>
        <v>3685.9552192917099</v>
      </c>
      <c r="H120">
        <f t="shared" si="11"/>
        <v>3585.0518592939611</v>
      </c>
      <c r="I120">
        <f t="shared" si="12"/>
        <v>2930.814182949222</v>
      </c>
      <c r="J120">
        <f t="shared" si="13"/>
        <v>630.04470291544476</v>
      </c>
      <c r="K120">
        <f t="shared" si="14"/>
        <v>4.4347029154447455</v>
      </c>
      <c r="L120">
        <f t="shared" si="15"/>
        <v>19.666589948254124</v>
      </c>
    </row>
    <row r="121" spans="1:12" x14ac:dyDescent="0.25">
      <c r="A121" s="2">
        <v>42221</v>
      </c>
      <c r="B121">
        <v>634.33000000000004</v>
      </c>
      <c r="C121">
        <v>643.78</v>
      </c>
      <c r="D121" s="2"/>
      <c r="E121">
        <f t="shared" si="8"/>
        <v>2032.6684347522769</v>
      </c>
      <c r="F121">
        <f t="shared" si="9"/>
        <v>2955.7586194986111</v>
      </c>
      <c r="G121">
        <f t="shared" si="10"/>
        <v>3697.8782205155449</v>
      </c>
      <c r="H121">
        <f t="shared" si="11"/>
        <v>3582.0530497699638</v>
      </c>
      <c r="I121">
        <f t="shared" si="12"/>
        <v>2934.4888085078192</v>
      </c>
      <c r="J121">
        <f t="shared" si="13"/>
        <v>631.08422412818993</v>
      </c>
      <c r="K121">
        <f t="shared" si="14"/>
        <v>-0.12577587181010585</v>
      </c>
      <c r="L121">
        <f t="shared" si="15"/>
        <v>1.581956992959218E-2</v>
      </c>
    </row>
    <row r="122" spans="1:12" x14ac:dyDescent="0.25">
      <c r="A122" s="2">
        <v>42222</v>
      </c>
      <c r="B122">
        <v>645</v>
      </c>
      <c r="C122">
        <v>642.67999999999995</v>
      </c>
      <c r="D122" s="2"/>
      <c r="E122">
        <f t="shared" si="8"/>
        <v>2018.3103265984037</v>
      </c>
      <c r="F122">
        <f t="shared" si="9"/>
        <v>2938.9373005382295</v>
      </c>
      <c r="G122">
        <f t="shared" si="10"/>
        <v>3685.0216310189412</v>
      </c>
      <c r="H122">
        <f t="shared" si="11"/>
        <v>3569.2038129099838</v>
      </c>
      <c r="I122">
        <f t="shared" si="12"/>
        <v>2918.2332192401987</v>
      </c>
      <c r="J122">
        <f t="shared" si="13"/>
        <v>626.84114434777985</v>
      </c>
      <c r="K122">
        <f t="shared" si="14"/>
        <v>-2.4088556522201543</v>
      </c>
      <c r="L122">
        <f t="shared" si="15"/>
        <v>5.8025855532329853</v>
      </c>
    </row>
    <row r="123" spans="1:12" x14ac:dyDescent="0.25">
      <c r="A123" s="2">
        <v>42223</v>
      </c>
      <c r="B123">
        <v>640.23</v>
      </c>
      <c r="C123">
        <v>635.29999999999995</v>
      </c>
      <c r="D123" s="2"/>
      <c r="E123">
        <f t="shared" si="8"/>
        <v>2023.0811844696682</v>
      </c>
      <c r="F123">
        <f t="shared" si="9"/>
        <v>2941.6201648910683</v>
      </c>
      <c r="G123">
        <f t="shared" si="10"/>
        <v>3679.1710197977864</v>
      </c>
      <c r="H123">
        <f t="shared" si="11"/>
        <v>3570.418292174008</v>
      </c>
      <c r="I123">
        <f t="shared" si="12"/>
        <v>2921.3888055943598</v>
      </c>
      <c r="J123">
        <f t="shared" si="13"/>
        <v>628.12525921626707</v>
      </c>
      <c r="K123">
        <f t="shared" si="14"/>
        <v>-15.654740783732905</v>
      </c>
      <c r="L123">
        <f t="shared" si="15"/>
        <v>245.07090900587031</v>
      </c>
    </row>
    <row r="124" spans="1:12" x14ac:dyDescent="0.25">
      <c r="A124" s="2">
        <v>42226</v>
      </c>
      <c r="B124">
        <v>639.48</v>
      </c>
      <c r="C124">
        <v>633.73</v>
      </c>
      <c r="D124" s="2"/>
      <c r="E124">
        <f t="shared" si="8"/>
        <v>2038.7502655674227</v>
      </c>
      <c r="F124">
        <f t="shared" si="9"/>
        <v>2961.9224546134628</v>
      </c>
      <c r="G124">
        <f t="shared" si="10"/>
        <v>3698.3800320745222</v>
      </c>
      <c r="H124">
        <f t="shared" si="11"/>
        <v>3586.7857795371874</v>
      </c>
      <c r="I124">
        <f t="shared" si="12"/>
        <v>2940.0491765888232</v>
      </c>
      <c r="J124">
        <f t="shared" si="13"/>
        <v>632.82633748644344</v>
      </c>
      <c r="K124">
        <f t="shared" si="14"/>
        <v>-9.8536625135565146</v>
      </c>
      <c r="L124">
        <f t="shared" si="15"/>
        <v>97.094664931068891</v>
      </c>
    </row>
    <row r="125" spans="1:12" x14ac:dyDescent="0.25">
      <c r="A125" s="2">
        <v>42227</v>
      </c>
      <c r="B125">
        <v>669.2</v>
      </c>
      <c r="C125">
        <v>660.78</v>
      </c>
      <c r="D125" s="2"/>
      <c r="E125">
        <f t="shared" si="8"/>
        <v>2069.3937206388086</v>
      </c>
      <c r="F125">
        <f t="shared" si="9"/>
        <v>3003.5811073593818</v>
      </c>
      <c r="G125">
        <f t="shared" si="10"/>
        <v>3734.9705047835159</v>
      </c>
      <c r="H125">
        <f t="shared" si="11"/>
        <v>3631.0322361648391</v>
      </c>
      <c r="I125">
        <f t="shared" si="12"/>
        <v>2980.699173890066</v>
      </c>
      <c r="J125">
        <f t="shared" si="13"/>
        <v>642.16633680540497</v>
      </c>
      <c r="K125">
        <f t="shared" si="14"/>
        <v>6.8663368054050125</v>
      </c>
      <c r="L125">
        <f t="shared" si="15"/>
        <v>47.146581125259509</v>
      </c>
    </row>
    <row r="126" spans="1:12" x14ac:dyDescent="0.25">
      <c r="A126" s="2">
        <v>42228</v>
      </c>
      <c r="B126">
        <v>663.08</v>
      </c>
      <c r="C126">
        <v>659.56</v>
      </c>
      <c r="D126" s="2"/>
      <c r="E126">
        <f t="shared" si="8"/>
        <v>2063.9571934409723</v>
      </c>
      <c r="F126">
        <f t="shared" si="9"/>
        <v>3003.6736407428061</v>
      </c>
      <c r="G126">
        <f t="shared" si="10"/>
        <v>3754.2488362657518</v>
      </c>
      <c r="H126">
        <f t="shared" si="11"/>
        <v>3637.0510631174629</v>
      </c>
      <c r="I126">
        <f t="shared" si="12"/>
        <v>2981.0850715966026</v>
      </c>
      <c r="J126">
        <f t="shared" si="13"/>
        <v>640.87543514331298</v>
      </c>
      <c r="K126">
        <f t="shared" si="14"/>
        <v>7.1454351433129659</v>
      </c>
      <c r="L126">
        <f t="shared" si="15"/>
        <v>51.057243387291983</v>
      </c>
    </row>
    <row r="127" spans="1:12" x14ac:dyDescent="0.25">
      <c r="A127" s="2">
        <v>42229</v>
      </c>
      <c r="B127">
        <v>659.32</v>
      </c>
      <c r="C127">
        <v>656.45</v>
      </c>
      <c r="D127" s="2"/>
      <c r="E127">
        <f t="shared" si="8"/>
        <v>2061.1567974007094</v>
      </c>
      <c r="F127">
        <f t="shared" si="9"/>
        <v>2998.9653859953669</v>
      </c>
      <c r="G127">
        <f t="shared" si="10"/>
        <v>3750.0074969419402</v>
      </c>
      <c r="H127">
        <f t="shared" si="11"/>
        <v>3639.3611679353612</v>
      </c>
      <c r="I127">
        <f t="shared" si="12"/>
        <v>2978.3847211981492</v>
      </c>
      <c r="J127">
        <f t="shared" si="13"/>
        <v>640.0227852646367</v>
      </c>
      <c r="K127">
        <f t="shared" si="14"/>
        <v>-20.757214735363277</v>
      </c>
      <c r="L127">
        <f t="shared" si="15"/>
        <v>430.86196356998238</v>
      </c>
    </row>
    <row r="128" spans="1:12" x14ac:dyDescent="0.25">
      <c r="A128" s="2">
        <v>42230</v>
      </c>
      <c r="B128">
        <v>655.01</v>
      </c>
      <c r="C128">
        <v>657.12</v>
      </c>
      <c r="D128" s="2"/>
      <c r="E128">
        <f t="shared" si="8"/>
        <v>2135.2189180347668</v>
      </c>
      <c r="F128">
        <f t="shared" si="9"/>
        <v>3089.5169368335114</v>
      </c>
      <c r="G128">
        <f t="shared" si="10"/>
        <v>3822.2971088252225</v>
      </c>
      <c r="H128">
        <f t="shared" si="11"/>
        <v>3724.3126650536365</v>
      </c>
      <c r="I128">
        <f t="shared" si="12"/>
        <v>3065.7724674335855</v>
      </c>
      <c r="J128">
        <f t="shared" si="13"/>
        <v>662.08752084196431</v>
      </c>
      <c r="K128">
        <f t="shared" si="14"/>
        <v>2.5275208419643604</v>
      </c>
      <c r="L128">
        <f t="shared" si="15"/>
        <v>6.3883616065642297</v>
      </c>
    </row>
    <row r="129" spans="1:12" x14ac:dyDescent="0.25">
      <c r="A129" s="2">
        <v>42233</v>
      </c>
      <c r="B129">
        <v>656.8</v>
      </c>
      <c r="C129">
        <v>660.87</v>
      </c>
      <c r="D129" s="2"/>
      <c r="E129">
        <f t="shared" si="8"/>
        <v>2135.5424350535509</v>
      </c>
      <c r="F129">
        <f t="shared" si="9"/>
        <v>3106.5752987778205</v>
      </c>
      <c r="G129">
        <f t="shared" si="10"/>
        <v>3875.7936796049148</v>
      </c>
      <c r="H129">
        <f t="shared" si="11"/>
        <v>3750.1563451510888</v>
      </c>
      <c r="I129">
        <f t="shared" si="12"/>
        <v>3080.5867983600424</v>
      </c>
      <c r="J129">
        <f t="shared" si="13"/>
        <v>662.94120770092343</v>
      </c>
      <c r="K129">
        <f t="shared" si="14"/>
        <v>6.4912077009233826</v>
      </c>
      <c r="L129">
        <f t="shared" si="15"/>
        <v>42.135777416527027</v>
      </c>
    </row>
    <row r="130" spans="1:12" x14ac:dyDescent="0.25">
      <c r="A130" s="2">
        <v>42234</v>
      </c>
      <c r="B130">
        <v>661.9</v>
      </c>
      <c r="C130">
        <v>656.13</v>
      </c>
      <c r="D130" s="2"/>
      <c r="E130">
        <f t="shared" si="8"/>
        <v>2127.3541594924736</v>
      </c>
      <c r="F130">
        <f t="shared" si="9"/>
        <v>3097.0221267266406</v>
      </c>
      <c r="G130">
        <f t="shared" si="10"/>
        <v>3865.9976294783573</v>
      </c>
      <c r="H130">
        <f t="shared" si="11"/>
        <v>3759.4890075193721</v>
      </c>
      <c r="I130">
        <f t="shared" si="12"/>
        <v>3076.1277882460572</v>
      </c>
      <c r="J130">
        <f t="shared" si="13"/>
        <v>660.63462355497325</v>
      </c>
      <c r="K130">
        <f t="shared" si="14"/>
        <v>3.514623554973241</v>
      </c>
      <c r="L130">
        <f t="shared" si="15"/>
        <v>12.352578733172741</v>
      </c>
    </row>
    <row r="131" spans="1:12" x14ac:dyDescent="0.25">
      <c r="A131" s="2">
        <v>42235</v>
      </c>
      <c r="B131">
        <v>656.6</v>
      </c>
      <c r="C131">
        <v>660.9</v>
      </c>
      <c r="D131" s="2"/>
      <c r="E131">
        <f t="shared" si="8"/>
        <v>2113.4850093352902</v>
      </c>
      <c r="F131">
        <f t="shared" si="9"/>
        <v>3076.9151057772406</v>
      </c>
      <c r="G131">
        <f t="shared" si="10"/>
        <v>3863.4596355803487</v>
      </c>
      <c r="H131">
        <f t="shared" si="11"/>
        <v>3734.5901625850943</v>
      </c>
      <c r="I131">
        <f t="shared" si="12"/>
        <v>3055.85843623046</v>
      </c>
      <c r="J131">
        <f t="shared" si="13"/>
        <v>656.3321034256403</v>
      </c>
      <c r="K131">
        <f t="shared" si="14"/>
        <v>-4.5378965743597064</v>
      </c>
      <c r="L131">
        <f t="shared" si="15"/>
        <v>20.592505319585559</v>
      </c>
    </row>
    <row r="132" spans="1:12" x14ac:dyDescent="0.25">
      <c r="A132" s="2">
        <v>42236</v>
      </c>
      <c r="B132">
        <v>655.46</v>
      </c>
      <c r="C132">
        <v>646.83000000000004</v>
      </c>
      <c r="D132" s="2"/>
      <c r="E132">
        <f t="shared" si="8"/>
        <v>2115.1222162520567</v>
      </c>
      <c r="F132">
        <f t="shared" si="9"/>
        <v>3076.0004179418784</v>
      </c>
      <c r="G132">
        <f t="shared" si="10"/>
        <v>3851.5085656080851</v>
      </c>
      <c r="H132">
        <f t="shared" si="11"/>
        <v>3735.3561024184824</v>
      </c>
      <c r="I132">
        <f t="shared" si="12"/>
        <v>3054.6419348409318</v>
      </c>
      <c r="J132">
        <f t="shared" si="13"/>
        <v>656.67280733944358</v>
      </c>
      <c r="K132">
        <f t="shared" si="14"/>
        <v>0.54280733944358417</v>
      </c>
      <c r="L132">
        <f t="shared" si="15"/>
        <v>0.29463980775382242</v>
      </c>
    </row>
    <row r="133" spans="1:12" x14ac:dyDescent="0.25">
      <c r="A133" s="2">
        <v>42237</v>
      </c>
      <c r="B133">
        <v>639.78</v>
      </c>
      <c r="C133">
        <v>612.48</v>
      </c>
      <c r="D133" s="2"/>
      <c r="E133">
        <f t="shared" si="8"/>
        <v>2128.3184995709598</v>
      </c>
      <c r="F133">
        <f t="shared" si="9"/>
        <v>3092.750643556707</v>
      </c>
      <c r="G133">
        <f t="shared" si="10"/>
        <v>3863.1930851330203</v>
      </c>
      <c r="H133">
        <f t="shared" si="11"/>
        <v>3747.8288662761743</v>
      </c>
      <c r="I133">
        <f t="shared" si="12"/>
        <v>3070.1812361286411</v>
      </c>
      <c r="J133">
        <f t="shared" si="13"/>
        <v>660.61909203451523</v>
      </c>
      <c r="K133">
        <f t="shared" si="14"/>
        <v>-0.28090796548474373</v>
      </c>
      <c r="L133">
        <f t="shared" si="15"/>
        <v>7.8909285072777974E-2</v>
      </c>
    </row>
    <row r="134" spans="1:12" x14ac:dyDescent="0.25">
      <c r="A134" s="2">
        <v>42240</v>
      </c>
      <c r="B134">
        <v>573</v>
      </c>
      <c r="C134">
        <v>589.61</v>
      </c>
      <c r="D134" s="2"/>
      <c r="E134">
        <f t="shared" si="8"/>
        <v>2117.9176906162202</v>
      </c>
      <c r="F134">
        <f t="shared" si="9"/>
        <v>3083.0025748927683</v>
      </c>
      <c r="G134">
        <f t="shared" si="10"/>
        <v>3861.0810848158681</v>
      </c>
      <c r="H134">
        <f t="shared" si="11"/>
        <v>3740.354952108501</v>
      </c>
      <c r="I134">
        <f t="shared" si="12"/>
        <v>3060.685811087169</v>
      </c>
      <c r="J134">
        <f t="shared" si="13"/>
        <v>657.66016786186162</v>
      </c>
      <c r="K134">
        <f t="shared" si="14"/>
        <v>10.830167861861582</v>
      </c>
      <c r="L134">
        <f t="shared" si="15"/>
        <v>117.29253591609948</v>
      </c>
    </row>
    <row r="135" spans="1:12" x14ac:dyDescent="0.25">
      <c r="A135" s="2">
        <v>42241</v>
      </c>
      <c r="B135">
        <v>614.91</v>
      </c>
      <c r="C135">
        <v>582.05999999999995</v>
      </c>
      <c r="D135" s="2"/>
      <c r="E135">
        <f t="shared" si="8"/>
        <v>2112.9832968651331</v>
      </c>
      <c r="F135">
        <f t="shared" si="9"/>
        <v>3074.6006765180082</v>
      </c>
      <c r="G135">
        <f t="shared" si="10"/>
        <v>3849.3109012780892</v>
      </c>
      <c r="H135">
        <f t="shared" si="11"/>
        <v>3733.6482995685751</v>
      </c>
      <c r="I135">
        <f t="shared" si="12"/>
        <v>3053.5814169179239</v>
      </c>
      <c r="J135">
        <f t="shared" si="13"/>
        <v>656.10038701881592</v>
      </c>
      <c r="K135">
        <f t="shared" si="14"/>
        <v>43.620387018815904</v>
      </c>
      <c r="L135">
        <f t="shared" si="15"/>
        <v>1902.738163671283</v>
      </c>
    </row>
    <row r="136" spans="1:12" x14ac:dyDescent="0.25">
      <c r="A136" s="2">
        <v>42242</v>
      </c>
      <c r="B136">
        <v>610.35</v>
      </c>
      <c r="C136">
        <v>628.62</v>
      </c>
      <c r="D136" s="2"/>
      <c r="E136">
        <f t="shared" si="8"/>
        <v>2071.874624508418</v>
      </c>
      <c r="F136">
        <f t="shared" si="9"/>
        <v>3022.3847521071866</v>
      </c>
      <c r="G136">
        <f t="shared" si="10"/>
        <v>3810.7910664766646</v>
      </c>
      <c r="H136">
        <f t="shared" si="11"/>
        <v>3679.489982853735</v>
      </c>
      <c r="I136">
        <f t="shared" si="12"/>
        <v>3002.0616905748275</v>
      </c>
      <c r="J136">
        <f t="shared" si="13"/>
        <v>643.73355558547519</v>
      </c>
      <c r="K136">
        <f t="shared" si="14"/>
        <v>54.123555585475174</v>
      </c>
      <c r="L136">
        <f t="shared" si="15"/>
        <v>2929.359269214021</v>
      </c>
    </row>
    <row r="137" spans="1:12" x14ac:dyDescent="0.25">
      <c r="A137" s="2">
        <v>42243</v>
      </c>
      <c r="B137">
        <v>639.4</v>
      </c>
      <c r="C137">
        <v>637.61</v>
      </c>
      <c r="D137" s="2"/>
      <c r="E137">
        <f t="shared" si="8"/>
        <v>1894.3163110773537</v>
      </c>
      <c r="F137">
        <f t="shared" si="9"/>
        <v>2793.7337515425979</v>
      </c>
      <c r="G137">
        <f t="shared" si="10"/>
        <v>3613.2992845452536</v>
      </c>
      <c r="H137">
        <f t="shared" si="11"/>
        <v>3454.6202830988414</v>
      </c>
      <c r="I137">
        <f t="shared" si="12"/>
        <v>2780.3909411606196</v>
      </c>
      <c r="J137">
        <f t="shared" si="13"/>
        <v>590.25943353018181</v>
      </c>
      <c r="K137">
        <f t="shared" si="14"/>
        <v>8.1994335301818637</v>
      </c>
      <c r="L137">
        <f t="shared" si="15"/>
        <v>67.230710215870616</v>
      </c>
    </row>
    <row r="138" spans="1:12" x14ac:dyDescent="0.25">
      <c r="A138" s="2">
        <v>42244</v>
      </c>
      <c r="B138">
        <v>632.82000000000005</v>
      </c>
      <c r="C138">
        <v>630.38</v>
      </c>
      <c r="D138" s="2"/>
      <c r="E138">
        <f t="shared" si="8"/>
        <v>1962.1504950549463</v>
      </c>
      <c r="F138">
        <f t="shared" si="9"/>
        <v>2837.8665299626309</v>
      </c>
      <c r="G138">
        <f t="shared" si="10"/>
        <v>3542.7977184925521</v>
      </c>
      <c r="H138">
        <f t="shared" si="11"/>
        <v>3467.3086502329329</v>
      </c>
      <c r="I138">
        <f t="shared" si="12"/>
        <v>2824.6795436944162</v>
      </c>
      <c r="J138">
        <f t="shared" si="13"/>
        <v>608.65522277708533</v>
      </c>
      <c r="K138">
        <f t="shared" si="14"/>
        <v>-19.964777222914677</v>
      </c>
      <c r="L138">
        <f t="shared" si="15"/>
        <v>398.59232956061265</v>
      </c>
    </row>
    <row r="139" spans="1:12" x14ac:dyDescent="0.25">
      <c r="A139" s="2">
        <v>42247</v>
      </c>
      <c r="B139">
        <v>627.54</v>
      </c>
      <c r="C139">
        <v>618.25</v>
      </c>
      <c r="D139" s="2"/>
      <c r="E139">
        <f t="shared" ref="E139:E202" si="16">SUMPRODUCT($E$2:$E$6,B132:B136)+$E$7</f>
        <v>1962.721435169856</v>
      </c>
      <c r="F139">
        <f t="shared" ref="F139:F202" si="17">SUMPRODUCT($F$2:$F$6,B132:B136)+$F$7</f>
        <v>2853.1569265872222</v>
      </c>
      <c r="G139">
        <f t="shared" ref="G139:G202" si="18">SUMPRODUCT($G$2:$G$6,B132:B136)+$G$7</f>
        <v>3590.5953174465376</v>
      </c>
      <c r="H139">
        <f t="shared" ref="H139:H202" si="19">SUMPRODUCT($H$2:$H$6,B132:B136)+$H$7</f>
        <v>3445.7161308764357</v>
      </c>
      <c r="I139">
        <f t="shared" ref="I139:I202" si="20">SUMPRODUCT($I$2:$I$6,B132:B136)+$I$7</f>
        <v>2827.1177798013937</v>
      </c>
      <c r="J139">
        <f t="shared" ref="J139:J202" si="21">$J$2*E139+$J$3*F139+$J$4*G139+$J$5*H139+$J$6*I139+$J$7</f>
        <v>609.234943919751</v>
      </c>
      <c r="K139">
        <f t="shared" ref="K139:K202" si="22">$J139-C137</f>
        <v>-28.37505608024901</v>
      </c>
      <c r="L139">
        <f t="shared" ref="L139:L202" si="23">K139^2</f>
        <v>805.14380755727632</v>
      </c>
    </row>
    <row r="140" spans="1:12" x14ac:dyDescent="0.25">
      <c r="A140" s="2">
        <v>42248</v>
      </c>
      <c r="B140">
        <v>602.36</v>
      </c>
      <c r="C140">
        <v>597.79</v>
      </c>
      <c r="D140" s="2"/>
      <c r="E140">
        <f t="shared" si="16"/>
        <v>2040.2800993652122</v>
      </c>
      <c r="F140">
        <f t="shared" si="17"/>
        <v>2952.21149443594</v>
      </c>
      <c r="G140">
        <f t="shared" si="18"/>
        <v>3623.7141499253294</v>
      </c>
      <c r="H140">
        <f t="shared" si="19"/>
        <v>3566.9848484327003</v>
      </c>
      <c r="I140">
        <f t="shared" si="20"/>
        <v>2930.0399706777853</v>
      </c>
      <c r="J140">
        <f t="shared" si="21"/>
        <v>632.71417240977553</v>
      </c>
      <c r="K140">
        <f t="shared" si="22"/>
        <v>2.3341724097755332</v>
      </c>
      <c r="L140">
        <f t="shared" si="23"/>
        <v>5.4483608385573197</v>
      </c>
    </row>
    <row r="141" spans="1:12" x14ac:dyDescent="0.25">
      <c r="A141" s="2">
        <v>42249</v>
      </c>
      <c r="B141">
        <v>605.59</v>
      </c>
      <c r="C141">
        <v>614.34</v>
      </c>
      <c r="D141" s="2"/>
      <c r="E141">
        <f t="shared" si="16"/>
        <v>2038.4901913659094</v>
      </c>
      <c r="F141">
        <f t="shared" si="17"/>
        <v>2965.7611793337942</v>
      </c>
      <c r="G141">
        <f t="shared" si="18"/>
        <v>3703.2683640914274</v>
      </c>
      <c r="H141">
        <f t="shared" si="19"/>
        <v>3572.3147350443246</v>
      </c>
      <c r="I141">
        <f t="shared" si="20"/>
        <v>2940.9039099292959</v>
      </c>
      <c r="J141">
        <f t="shared" si="21"/>
        <v>632.88090521836079</v>
      </c>
      <c r="K141">
        <f t="shared" si="22"/>
        <v>14.630905218360795</v>
      </c>
      <c r="L141">
        <f t="shared" si="23"/>
        <v>214.06338750865714</v>
      </c>
    </row>
    <row r="142" spans="1:12" x14ac:dyDescent="0.25">
      <c r="A142" s="2">
        <v>42250</v>
      </c>
      <c r="B142">
        <v>617</v>
      </c>
      <c r="C142">
        <v>606.25</v>
      </c>
      <c r="D142" s="2"/>
      <c r="E142">
        <f t="shared" si="16"/>
        <v>2026.1054316734592</v>
      </c>
      <c r="F142">
        <f t="shared" si="17"/>
        <v>2950.666418059564</v>
      </c>
      <c r="G142">
        <f t="shared" si="18"/>
        <v>3686.0087399498261</v>
      </c>
      <c r="H142">
        <f t="shared" si="19"/>
        <v>3584.2837225557519</v>
      </c>
      <c r="I142">
        <f t="shared" si="20"/>
        <v>2930.9798857709466</v>
      </c>
      <c r="J142">
        <f t="shared" si="21"/>
        <v>629.30174974319584</v>
      </c>
      <c r="K142">
        <f t="shared" si="22"/>
        <v>31.511749743195878</v>
      </c>
      <c r="L142">
        <f t="shared" si="23"/>
        <v>992.9903718778055</v>
      </c>
    </row>
    <row r="143" spans="1:12" x14ac:dyDescent="0.25">
      <c r="A143" s="2">
        <v>42251</v>
      </c>
      <c r="B143">
        <v>600</v>
      </c>
      <c r="C143">
        <v>600.70000000000005</v>
      </c>
      <c r="D143" s="2"/>
      <c r="E143">
        <f t="shared" si="16"/>
        <v>1958.5412675921159</v>
      </c>
      <c r="F143">
        <f t="shared" si="17"/>
        <v>2863.2147567821276</v>
      </c>
      <c r="G143">
        <f t="shared" si="18"/>
        <v>3630.4521616747406</v>
      </c>
      <c r="H143">
        <f t="shared" si="19"/>
        <v>3492.9164843340782</v>
      </c>
      <c r="I143">
        <f t="shared" si="20"/>
        <v>2845.2297075401548</v>
      </c>
      <c r="J143">
        <f t="shared" si="21"/>
        <v>608.9099620998586</v>
      </c>
      <c r="K143">
        <f t="shared" si="22"/>
        <v>-5.4300379001414285</v>
      </c>
      <c r="L143">
        <f t="shared" si="23"/>
        <v>29.485311596972334</v>
      </c>
    </row>
    <row r="144" spans="1:12" x14ac:dyDescent="0.25">
      <c r="A144" s="2">
        <v>42255</v>
      </c>
      <c r="B144">
        <v>612.49</v>
      </c>
      <c r="C144">
        <v>614.66</v>
      </c>
      <c r="D144" s="2"/>
      <c r="E144">
        <f t="shared" si="16"/>
        <v>1952.403325092668</v>
      </c>
      <c r="F144">
        <f t="shared" si="17"/>
        <v>2840.7065194027841</v>
      </c>
      <c r="G144">
        <f t="shared" si="18"/>
        <v>3570.7967721900668</v>
      </c>
      <c r="H144">
        <f t="shared" si="19"/>
        <v>3466.0531969111039</v>
      </c>
      <c r="I144">
        <f t="shared" si="20"/>
        <v>2823.9501574415262</v>
      </c>
      <c r="J144">
        <f t="shared" si="21"/>
        <v>606.37514380202947</v>
      </c>
      <c r="K144">
        <f t="shared" si="22"/>
        <v>0.12514380202946995</v>
      </c>
      <c r="L144">
        <f t="shared" si="23"/>
        <v>1.5660971186391169E-2</v>
      </c>
    </row>
    <row r="145" spans="1:12" x14ac:dyDescent="0.25">
      <c r="A145" s="2">
        <v>42256</v>
      </c>
      <c r="B145">
        <v>621.22</v>
      </c>
      <c r="C145">
        <v>612.72</v>
      </c>
      <c r="D145" s="2"/>
      <c r="E145">
        <f t="shared" si="16"/>
        <v>1979.1039601970572</v>
      </c>
      <c r="F145">
        <f t="shared" si="17"/>
        <v>2872.1465200118637</v>
      </c>
      <c r="G145">
        <f t="shared" si="18"/>
        <v>3589.7349777087061</v>
      </c>
      <c r="H145">
        <f t="shared" si="19"/>
        <v>3478.2159632457146</v>
      </c>
      <c r="I145">
        <f t="shared" si="20"/>
        <v>2850.542818166663</v>
      </c>
      <c r="J145">
        <f t="shared" si="21"/>
        <v>614.18487263392308</v>
      </c>
      <c r="K145">
        <f t="shared" si="22"/>
        <v>13.484872633923032</v>
      </c>
      <c r="L145">
        <f t="shared" si="23"/>
        <v>181.84178995312629</v>
      </c>
    </row>
    <row r="146" spans="1:12" x14ac:dyDescent="0.25">
      <c r="A146" s="2">
        <v>42257</v>
      </c>
      <c r="B146">
        <v>613.1</v>
      </c>
      <c r="C146">
        <v>621.35</v>
      </c>
      <c r="D146" s="2"/>
      <c r="E146">
        <f t="shared" si="16"/>
        <v>1942.7019944567755</v>
      </c>
      <c r="F146">
        <f t="shared" si="17"/>
        <v>2833.9863998406099</v>
      </c>
      <c r="G146">
        <f t="shared" si="18"/>
        <v>3562.4679627082733</v>
      </c>
      <c r="H146">
        <f t="shared" si="19"/>
        <v>3445.7312281877607</v>
      </c>
      <c r="I146">
        <f t="shared" si="20"/>
        <v>2813.2796524945661</v>
      </c>
      <c r="J146">
        <f t="shared" si="21"/>
        <v>603.63282852855241</v>
      </c>
      <c r="K146">
        <f t="shared" si="22"/>
        <v>-11.027171471447559</v>
      </c>
      <c r="L146">
        <f t="shared" si="23"/>
        <v>121.59851066070694</v>
      </c>
    </row>
    <row r="147" spans="1:12" x14ac:dyDescent="0.25">
      <c r="A147" s="2">
        <v>42258</v>
      </c>
      <c r="B147">
        <v>619.75</v>
      </c>
      <c r="C147">
        <v>625.77</v>
      </c>
      <c r="D147" s="2"/>
      <c r="E147">
        <f t="shared" si="16"/>
        <v>1966.9650541503217</v>
      </c>
      <c r="F147">
        <f t="shared" si="17"/>
        <v>2855.9613710027993</v>
      </c>
      <c r="G147">
        <f t="shared" si="18"/>
        <v>3558.4062244850061</v>
      </c>
      <c r="H147">
        <f t="shared" si="19"/>
        <v>3465.869283822271</v>
      </c>
      <c r="I147">
        <f t="shared" si="20"/>
        <v>2837.3261698393253</v>
      </c>
      <c r="J147">
        <f t="shared" si="21"/>
        <v>610.56029559068668</v>
      </c>
      <c r="K147">
        <f t="shared" si="22"/>
        <v>-2.1597044093133491</v>
      </c>
      <c r="L147">
        <f t="shared" si="23"/>
        <v>4.6643231356075221</v>
      </c>
    </row>
    <row r="148" spans="1:12" x14ac:dyDescent="0.25">
      <c r="A148" s="2">
        <v>42261</v>
      </c>
      <c r="B148">
        <v>625.70000000000005</v>
      </c>
      <c r="C148">
        <v>623.24</v>
      </c>
      <c r="D148" s="2"/>
      <c r="E148">
        <f t="shared" si="16"/>
        <v>1993.113895217705</v>
      </c>
      <c r="F148">
        <f t="shared" si="17"/>
        <v>2893.0492076103192</v>
      </c>
      <c r="G148">
        <f t="shared" si="18"/>
        <v>3608.1085944114766</v>
      </c>
      <c r="H148">
        <f t="shared" si="19"/>
        <v>3493.5636488059008</v>
      </c>
      <c r="I148">
        <f t="shared" si="20"/>
        <v>2870.1293481542607</v>
      </c>
      <c r="J148">
        <f t="shared" si="21"/>
        <v>618.5252852355444</v>
      </c>
      <c r="K148">
        <f t="shared" si="22"/>
        <v>-2.8247147644556208</v>
      </c>
      <c r="L148">
        <f t="shared" si="23"/>
        <v>7.9790135005335729</v>
      </c>
    </row>
    <row r="149" spans="1:12" x14ac:dyDescent="0.25">
      <c r="A149" s="2">
        <v>42262</v>
      </c>
      <c r="B149">
        <v>626.70000000000005</v>
      </c>
      <c r="C149">
        <v>635.14</v>
      </c>
      <c r="D149" s="2"/>
      <c r="E149">
        <f t="shared" si="16"/>
        <v>1979.1806410654335</v>
      </c>
      <c r="F149">
        <f t="shared" si="17"/>
        <v>2882.4283100734147</v>
      </c>
      <c r="G149">
        <f t="shared" si="18"/>
        <v>3604.9052759690217</v>
      </c>
      <c r="H149">
        <f t="shared" si="19"/>
        <v>3496.5927060419995</v>
      </c>
      <c r="I149">
        <f t="shared" si="20"/>
        <v>2861.1983534924084</v>
      </c>
      <c r="J149">
        <f t="shared" si="21"/>
        <v>614.71133922914282</v>
      </c>
      <c r="K149">
        <f t="shared" si="22"/>
        <v>-11.058660770857159</v>
      </c>
      <c r="L149">
        <f t="shared" si="23"/>
        <v>122.29397804489506</v>
      </c>
    </row>
    <row r="150" spans="1:12" x14ac:dyDescent="0.25">
      <c r="A150" s="2">
        <v>42263</v>
      </c>
      <c r="B150">
        <v>635.47</v>
      </c>
      <c r="C150">
        <v>635.98</v>
      </c>
      <c r="D150" s="2"/>
      <c r="E150">
        <f t="shared" si="16"/>
        <v>1993.0093664362669</v>
      </c>
      <c r="F150">
        <f t="shared" si="17"/>
        <v>2896.1395902991717</v>
      </c>
      <c r="G150">
        <f t="shared" si="18"/>
        <v>3613.2882934070803</v>
      </c>
      <c r="H150">
        <f t="shared" si="19"/>
        <v>3510.7271461692776</v>
      </c>
      <c r="I150">
        <f t="shared" si="20"/>
        <v>2876.3063677227497</v>
      </c>
      <c r="J150">
        <f t="shared" si="21"/>
        <v>618.722320858329</v>
      </c>
      <c r="K150">
        <f t="shared" si="22"/>
        <v>-4.5176791416710103</v>
      </c>
      <c r="L150">
        <f t="shared" si="23"/>
        <v>20.409424827089317</v>
      </c>
    </row>
    <row r="151" spans="1:12" x14ac:dyDescent="0.25">
      <c r="A151" s="2">
        <v>42264</v>
      </c>
      <c r="B151">
        <v>637.79</v>
      </c>
      <c r="C151">
        <v>642.9</v>
      </c>
      <c r="D151" s="2"/>
      <c r="E151">
        <f t="shared" si="16"/>
        <v>2010.3703705384166</v>
      </c>
      <c r="F151">
        <f t="shared" si="17"/>
        <v>2920.2662486938302</v>
      </c>
      <c r="G151">
        <f t="shared" si="18"/>
        <v>3644.9711009647103</v>
      </c>
      <c r="H151">
        <f t="shared" si="19"/>
        <v>3532.3434652036926</v>
      </c>
      <c r="I151">
        <f t="shared" si="20"/>
        <v>2898.1722199746191</v>
      </c>
      <c r="J151">
        <f t="shared" si="21"/>
        <v>623.99999055988405</v>
      </c>
      <c r="K151">
        <f t="shared" si="22"/>
        <v>-11.140009440115932</v>
      </c>
      <c r="L151">
        <f t="shared" si="23"/>
        <v>124.09981032587208</v>
      </c>
    </row>
    <row r="152" spans="1:12" x14ac:dyDescent="0.25">
      <c r="A152" s="2">
        <v>42265</v>
      </c>
      <c r="B152">
        <v>636.79</v>
      </c>
      <c r="C152">
        <v>629.25</v>
      </c>
      <c r="D152" s="2"/>
      <c r="E152">
        <f t="shared" si="16"/>
        <v>2017.1196103597229</v>
      </c>
      <c r="F152">
        <f t="shared" si="17"/>
        <v>2932.8721553232026</v>
      </c>
      <c r="G152">
        <f t="shared" si="18"/>
        <v>3659.4228435280347</v>
      </c>
      <c r="H152">
        <f t="shared" si="19"/>
        <v>3552.4269465113525</v>
      </c>
      <c r="I152">
        <f t="shared" si="20"/>
        <v>2911.1038770701471</v>
      </c>
      <c r="J152">
        <f t="shared" si="21"/>
        <v>626.23652888777633</v>
      </c>
      <c r="K152">
        <f t="shared" si="22"/>
        <v>-9.7434711122236877</v>
      </c>
      <c r="L152">
        <f t="shared" si="23"/>
        <v>94.935229314737512</v>
      </c>
    </row>
    <row r="153" spans="1:12" x14ac:dyDescent="0.25">
      <c r="A153" s="2">
        <v>42268</v>
      </c>
      <c r="B153">
        <v>634.4</v>
      </c>
      <c r="C153">
        <v>635.44000000000005</v>
      </c>
      <c r="D153" s="2"/>
      <c r="E153">
        <f t="shared" si="16"/>
        <v>2040.7690008875536</v>
      </c>
      <c r="F153">
        <f t="shared" si="17"/>
        <v>2963.498642943995</v>
      </c>
      <c r="G153">
        <f t="shared" si="18"/>
        <v>3689.4766654324458</v>
      </c>
      <c r="H153">
        <f t="shared" si="19"/>
        <v>3584.9952718729123</v>
      </c>
      <c r="I153">
        <f t="shared" si="20"/>
        <v>2941.7327174521988</v>
      </c>
      <c r="J153">
        <f t="shared" si="21"/>
        <v>633.38895288701838</v>
      </c>
      <c r="K153">
        <f t="shared" si="22"/>
        <v>-9.5110471129816005</v>
      </c>
      <c r="L153">
        <f t="shared" si="23"/>
        <v>90.460017185355639</v>
      </c>
    </row>
    <row r="154" spans="1:12" x14ac:dyDescent="0.25">
      <c r="A154" s="2">
        <v>42269</v>
      </c>
      <c r="B154">
        <v>627</v>
      </c>
      <c r="C154">
        <v>622.69000000000005</v>
      </c>
      <c r="D154" s="2"/>
      <c r="E154">
        <f t="shared" si="16"/>
        <v>2051.493952618373</v>
      </c>
      <c r="F154">
        <f t="shared" si="17"/>
        <v>2981.8474038599579</v>
      </c>
      <c r="G154">
        <f t="shared" si="18"/>
        <v>3720.2906823348676</v>
      </c>
      <c r="H154">
        <f t="shared" si="19"/>
        <v>3606.9897912834554</v>
      </c>
      <c r="I154">
        <f t="shared" si="20"/>
        <v>2959.2383571529544</v>
      </c>
      <c r="J154">
        <f t="shared" si="21"/>
        <v>636.82948494280697</v>
      </c>
      <c r="K154">
        <f t="shared" si="22"/>
        <v>7.579484942806971</v>
      </c>
      <c r="L154">
        <f t="shared" si="23"/>
        <v>57.448591998237596</v>
      </c>
    </row>
    <row r="155" spans="1:12" x14ac:dyDescent="0.25">
      <c r="A155" s="2">
        <v>42270</v>
      </c>
      <c r="B155">
        <v>622.04999999999995</v>
      </c>
      <c r="C155">
        <v>622.36</v>
      </c>
      <c r="D155" s="2"/>
      <c r="E155">
        <f t="shared" si="16"/>
        <v>2051.5657689782388</v>
      </c>
      <c r="F155">
        <f t="shared" si="17"/>
        <v>2984.4330420137139</v>
      </c>
      <c r="G155">
        <f t="shared" si="18"/>
        <v>3728.3479775320693</v>
      </c>
      <c r="H155">
        <f t="shared" si="19"/>
        <v>3617.4185570446875</v>
      </c>
      <c r="I155">
        <f t="shared" si="20"/>
        <v>2962.9480752065951</v>
      </c>
      <c r="J155">
        <f t="shared" si="21"/>
        <v>636.99848272957399</v>
      </c>
      <c r="K155">
        <f t="shared" si="22"/>
        <v>1.5584827295739387</v>
      </c>
      <c r="L155">
        <f t="shared" si="23"/>
        <v>2.4288684183802345</v>
      </c>
    </row>
    <row r="156" spans="1:12" x14ac:dyDescent="0.25">
      <c r="A156" s="2">
        <v>42271</v>
      </c>
      <c r="B156">
        <v>616.64</v>
      </c>
      <c r="C156">
        <v>625.79999999999995</v>
      </c>
      <c r="D156" s="2"/>
      <c r="E156">
        <f t="shared" si="16"/>
        <v>2045.341796084376</v>
      </c>
      <c r="F156">
        <f t="shared" si="17"/>
        <v>2976.4839497803969</v>
      </c>
      <c r="G156">
        <f t="shared" si="18"/>
        <v>3727.2153793847515</v>
      </c>
      <c r="H156">
        <f t="shared" si="19"/>
        <v>3611.3036244914178</v>
      </c>
      <c r="I156">
        <f t="shared" si="20"/>
        <v>2955.6235549397225</v>
      </c>
      <c r="J156">
        <f t="shared" si="21"/>
        <v>635.13610408331817</v>
      </c>
      <c r="K156">
        <f t="shared" si="22"/>
        <v>12.446104083318119</v>
      </c>
      <c r="L156">
        <f t="shared" si="23"/>
        <v>154.90550685278794</v>
      </c>
    </row>
    <row r="157" spans="1:12" x14ac:dyDescent="0.25">
      <c r="A157" s="2">
        <v>42272</v>
      </c>
      <c r="B157">
        <v>629.77</v>
      </c>
      <c r="C157">
        <v>611.97</v>
      </c>
      <c r="D157" s="2"/>
      <c r="E157">
        <f t="shared" si="16"/>
        <v>2025.1812592453796</v>
      </c>
      <c r="F157">
        <f t="shared" si="17"/>
        <v>2950.0604167375141</v>
      </c>
      <c r="G157">
        <f t="shared" si="18"/>
        <v>3705.2534615532882</v>
      </c>
      <c r="H157">
        <f t="shared" si="19"/>
        <v>3586.0517530471684</v>
      </c>
      <c r="I157">
        <f t="shared" si="20"/>
        <v>2929.9078435242022</v>
      </c>
      <c r="J157">
        <f t="shared" si="21"/>
        <v>629.04007785202805</v>
      </c>
      <c r="K157">
        <f t="shared" si="22"/>
        <v>6.6800778520280346</v>
      </c>
      <c r="L157">
        <f t="shared" si="23"/>
        <v>44.623440109155482</v>
      </c>
    </row>
    <row r="158" spans="1:12" x14ac:dyDescent="0.25">
      <c r="A158" s="2">
        <v>42275</v>
      </c>
      <c r="B158">
        <v>610.34</v>
      </c>
      <c r="C158">
        <v>594.89</v>
      </c>
      <c r="D158" s="2"/>
      <c r="E158">
        <f t="shared" si="16"/>
        <v>2008.3201226007034</v>
      </c>
      <c r="F158">
        <f t="shared" si="17"/>
        <v>2924.7048920085654</v>
      </c>
      <c r="G158">
        <f t="shared" si="18"/>
        <v>3674.1632943350887</v>
      </c>
      <c r="H158">
        <f t="shared" si="19"/>
        <v>3558.3210857221925</v>
      </c>
      <c r="I158">
        <f t="shared" si="20"/>
        <v>2905.3011174417597</v>
      </c>
      <c r="J158">
        <f t="shared" si="21"/>
        <v>623.78720072536964</v>
      </c>
      <c r="K158">
        <f t="shared" si="22"/>
        <v>-2.0127992746303107</v>
      </c>
      <c r="L158">
        <f t="shared" si="23"/>
        <v>4.0513609199523053</v>
      </c>
    </row>
    <row r="159" spans="1:12" x14ac:dyDescent="0.25">
      <c r="A159" s="2">
        <v>42276</v>
      </c>
      <c r="B159">
        <v>597.28</v>
      </c>
      <c r="C159">
        <v>594.97</v>
      </c>
      <c r="D159" s="2"/>
      <c r="E159">
        <f t="shared" si="16"/>
        <v>1990.8315020044104</v>
      </c>
      <c r="F159">
        <f t="shared" si="17"/>
        <v>2899.2757826234033</v>
      </c>
      <c r="G159">
        <f t="shared" si="18"/>
        <v>3644.5794838713732</v>
      </c>
      <c r="H159">
        <f t="shared" si="19"/>
        <v>3527.0112838404889</v>
      </c>
      <c r="I159">
        <f t="shared" si="20"/>
        <v>2879.7289440815948</v>
      </c>
      <c r="J159">
        <f t="shared" si="21"/>
        <v>618.35964882047847</v>
      </c>
      <c r="K159">
        <f t="shared" si="22"/>
        <v>6.3896488204784418</v>
      </c>
      <c r="L159">
        <f t="shared" si="23"/>
        <v>40.827612049041541</v>
      </c>
    </row>
    <row r="160" spans="1:12" x14ac:dyDescent="0.25">
      <c r="A160" s="2">
        <v>42277</v>
      </c>
      <c r="B160">
        <v>603.28</v>
      </c>
      <c r="C160">
        <v>608.41999999999996</v>
      </c>
      <c r="D160" s="2"/>
      <c r="E160">
        <f t="shared" si="16"/>
        <v>2020.3894543341328</v>
      </c>
      <c r="F160">
        <f t="shared" si="17"/>
        <v>2932.1197648543202</v>
      </c>
      <c r="G160">
        <f t="shared" si="18"/>
        <v>3655.0575313559011</v>
      </c>
      <c r="H160">
        <f t="shared" si="19"/>
        <v>3553.3348586921998</v>
      </c>
      <c r="I160">
        <f t="shared" si="20"/>
        <v>2911.226398761758</v>
      </c>
      <c r="J160">
        <f t="shared" si="21"/>
        <v>627.00362783899573</v>
      </c>
      <c r="K160">
        <f t="shared" si="22"/>
        <v>32.11362783899574</v>
      </c>
      <c r="L160">
        <f t="shared" si="23"/>
        <v>1031.2850929815222</v>
      </c>
    </row>
    <row r="161" spans="1:12" x14ac:dyDescent="0.25">
      <c r="A161" s="2">
        <v>42278</v>
      </c>
      <c r="B161">
        <v>608.37</v>
      </c>
      <c r="C161">
        <v>611.29</v>
      </c>
      <c r="D161" s="2"/>
      <c r="E161">
        <f t="shared" si="16"/>
        <v>1977.4214662691022</v>
      </c>
      <c r="F161">
        <f t="shared" si="17"/>
        <v>2885.6359891826419</v>
      </c>
      <c r="G161">
        <f t="shared" si="18"/>
        <v>3635.3701523600425</v>
      </c>
      <c r="H161">
        <f t="shared" si="19"/>
        <v>3506.7559566494024</v>
      </c>
      <c r="I161">
        <f t="shared" si="20"/>
        <v>2864.4666159505987</v>
      </c>
      <c r="J161">
        <f t="shared" si="21"/>
        <v>614.44716470002481</v>
      </c>
      <c r="K161">
        <f t="shared" si="22"/>
        <v>19.477164700024787</v>
      </c>
      <c r="L161">
        <f t="shared" si="23"/>
        <v>379.35994475189165</v>
      </c>
    </row>
    <row r="162" spans="1:12" x14ac:dyDescent="0.25">
      <c r="A162" s="2">
        <v>42279</v>
      </c>
      <c r="B162">
        <v>607.20000000000005</v>
      </c>
      <c r="C162">
        <v>626.91</v>
      </c>
      <c r="D162" s="2"/>
      <c r="E162">
        <f t="shared" si="16"/>
        <v>1935.9974841977726</v>
      </c>
      <c r="F162">
        <f t="shared" si="17"/>
        <v>2825.2134661464352</v>
      </c>
      <c r="G162">
        <f t="shared" si="18"/>
        <v>3561.004793664576</v>
      </c>
      <c r="H162">
        <f t="shared" si="19"/>
        <v>3451.6130112507894</v>
      </c>
      <c r="I162">
        <f t="shared" si="20"/>
        <v>2808.7727849579851</v>
      </c>
      <c r="J162">
        <f t="shared" si="21"/>
        <v>601.70024386807472</v>
      </c>
      <c r="K162">
        <f t="shared" si="22"/>
        <v>-6.7197561319252372</v>
      </c>
      <c r="L162">
        <f t="shared" si="23"/>
        <v>45.155122472546829</v>
      </c>
    </row>
    <row r="163" spans="1:12" x14ac:dyDescent="0.25">
      <c r="A163" s="2">
        <v>42283</v>
      </c>
      <c r="B163">
        <v>638.84</v>
      </c>
      <c r="C163">
        <v>645.44000000000005</v>
      </c>
      <c r="D163" s="2"/>
      <c r="E163">
        <f t="shared" si="16"/>
        <v>1941.1706162905748</v>
      </c>
      <c r="F163">
        <f t="shared" si="17"/>
        <v>2821.6150957224663</v>
      </c>
      <c r="G163">
        <f t="shared" si="18"/>
        <v>3543.0410200819824</v>
      </c>
      <c r="H163">
        <f t="shared" si="19"/>
        <v>3429.8788702230563</v>
      </c>
      <c r="I163">
        <f t="shared" si="20"/>
        <v>2803.0685949237804</v>
      </c>
      <c r="J163">
        <f t="shared" si="21"/>
        <v>602.7155125014059</v>
      </c>
      <c r="K163">
        <f t="shared" si="22"/>
        <v>-8.5744874985940669</v>
      </c>
      <c r="L163">
        <f t="shared" si="23"/>
        <v>73.521835863545945</v>
      </c>
    </row>
    <row r="164" spans="1:12" x14ac:dyDescent="0.25">
      <c r="A164" s="2">
        <v>42289</v>
      </c>
      <c r="B164">
        <v>642.09</v>
      </c>
      <c r="C164">
        <v>646.66999999999996</v>
      </c>
      <c r="D164" s="2"/>
      <c r="E164">
        <f t="shared" si="16"/>
        <v>1955.2416521500325</v>
      </c>
      <c r="F164">
        <f t="shared" si="17"/>
        <v>2840.6358052973301</v>
      </c>
      <c r="G164">
        <f t="shared" si="18"/>
        <v>3550.3761746481778</v>
      </c>
      <c r="H164">
        <f t="shared" si="19"/>
        <v>3443.0060931726252</v>
      </c>
      <c r="I164">
        <f t="shared" si="20"/>
        <v>2819.2587321864803</v>
      </c>
      <c r="J164">
        <f t="shared" si="21"/>
        <v>606.94384027131821</v>
      </c>
      <c r="K164">
        <f t="shared" si="22"/>
        <v>-19.96615972868176</v>
      </c>
      <c r="L164">
        <f t="shared" si="23"/>
        <v>398.6475343112333</v>
      </c>
    </row>
    <row r="165" spans="1:12" x14ac:dyDescent="0.25">
      <c r="A165" s="2">
        <v>42290</v>
      </c>
      <c r="B165">
        <v>643.15</v>
      </c>
      <c r="C165">
        <v>652.29999999999995</v>
      </c>
      <c r="D165" s="2"/>
      <c r="E165">
        <f t="shared" si="16"/>
        <v>1955.9383636326604</v>
      </c>
      <c r="F165">
        <f t="shared" si="17"/>
        <v>2845.1811782079521</v>
      </c>
      <c r="G165">
        <f t="shared" si="18"/>
        <v>3554.1579060121735</v>
      </c>
      <c r="H165">
        <f t="shared" si="19"/>
        <v>3449.4354281688416</v>
      </c>
      <c r="I165">
        <f t="shared" si="20"/>
        <v>2824.3010131808878</v>
      </c>
      <c r="J165">
        <f t="shared" si="21"/>
        <v>607.34308137559412</v>
      </c>
      <c r="K165">
        <f t="shared" si="22"/>
        <v>-38.09691862440593</v>
      </c>
      <c r="L165">
        <f t="shared" si="23"/>
        <v>1451.3752086746074</v>
      </c>
    </row>
    <row r="166" spans="1:12" x14ac:dyDescent="0.25">
      <c r="A166" s="2">
        <v>42291</v>
      </c>
      <c r="B166">
        <v>653.21</v>
      </c>
      <c r="C166">
        <v>651.16</v>
      </c>
      <c r="D166" s="2"/>
      <c r="E166">
        <f t="shared" si="16"/>
        <v>2036.1616735285381</v>
      </c>
      <c r="F166">
        <f t="shared" si="17"/>
        <v>2944.4539902336655</v>
      </c>
      <c r="G166">
        <f t="shared" si="18"/>
        <v>3631.5589598342335</v>
      </c>
      <c r="H166">
        <f t="shared" si="19"/>
        <v>3546.1982325558261</v>
      </c>
      <c r="I166">
        <f t="shared" si="20"/>
        <v>2921.6836622981509</v>
      </c>
      <c r="J166">
        <f t="shared" si="21"/>
        <v>631.33692371522159</v>
      </c>
      <c r="K166">
        <f t="shared" si="22"/>
        <v>-15.333076284778372</v>
      </c>
      <c r="L166">
        <f t="shared" si="23"/>
        <v>235.10322835483291</v>
      </c>
    </row>
    <row r="167" spans="1:12" x14ac:dyDescent="0.25">
      <c r="A167" s="2">
        <v>42292</v>
      </c>
      <c r="B167">
        <v>654.66</v>
      </c>
      <c r="C167">
        <v>661.74</v>
      </c>
      <c r="D167" s="2"/>
      <c r="E167">
        <f t="shared" si="16"/>
        <v>2061.1587060158377</v>
      </c>
      <c r="F167">
        <f t="shared" si="17"/>
        <v>2993.0613216677093</v>
      </c>
      <c r="G167">
        <f t="shared" si="18"/>
        <v>3717.7847933763096</v>
      </c>
      <c r="H167">
        <f t="shared" si="19"/>
        <v>3601.8652909131101</v>
      </c>
      <c r="I167">
        <f t="shared" si="20"/>
        <v>2967.0102544797323</v>
      </c>
      <c r="J167">
        <f t="shared" si="21"/>
        <v>639.60892365924985</v>
      </c>
      <c r="K167">
        <f t="shared" si="22"/>
        <v>-12.691076340750101</v>
      </c>
      <c r="L167">
        <f t="shared" si="23"/>
        <v>161.06341868674696</v>
      </c>
    </row>
    <row r="168" spans="1:12" x14ac:dyDescent="0.25">
      <c r="A168" s="2">
        <v>42293</v>
      </c>
      <c r="B168">
        <v>664.11</v>
      </c>
      <c r="C168">
        <v>662.2</v>
      </c>
      <c r="D168" s="2"/>
      <c r="E168">
        <f t="shared" si="16"/>
        <v>2070.4854327634407</v>
      </c>
      <c r="F168">
        <f t="shared" si="17"/>
        <v>3010.7197960664598</v>
      </c>
      <c r="G168">
        <f t="shared" si="18"/>
        <v>3742.3459529312986</v>
      </c>
      <c r="H168">
        <f t="shared" si="19"/>
        <v>3643.1544025995609</v>
      </c>
      <c r="I168">
        <f t="shared" si="20"/>
        <v>2988.781938934063</v>
      </c>
      <c r="J168">
        <f t="shared" si="21"/>
        <v>642.79657807237254</v>
      </c>
      <c r="K168">
        <f t="shared" si="22"/>
        <v>-8.363421927627428</v>
      </c>
      <c r="L168">
        <f t="shared" si="23"/>
        <v>69.946826339519276</v>
      </c>
    </row>
    <row r="169" spans="1:12" x14ac:dyDescent="0.25">
      <c r="A169" s="2">
        <v>42296</v>
      </c>
      <c r="B169">
        <v>661.18</v>
      </c>
      <c r="C169">
        <v>666.1</v>
      </c>
      <c r="D169" s="2"/>
      <c r="E169">
        <f t="shared" si="16"/>
        <v>2097.0128017458001</v>
      </c>
      <c r="F169">
        <f t="shared" si="17"/>
        <v>3044.5744966573375</v>
      </c>
      <c r="G169">
        <f t="shared" si="18"/>
        <v>3790.6253247839095</v>
      </c>
      <c r="H169">
        <f t="shared" si="19"/>
        <v>3678.2203691878303</v>
      </c>
      <c r="I169">
        <f t="shared" si="20"/>
        <v>3022.139164864479</v>
      </c>
      <c r="J169">
        <f t="shared" si="21"/>
        <v>650.78351603775934</v>
      </c>
      <c r="K169">
        <f t="shared" si="22"/>
        <v>-10.956483962240668</v>
      </c>
      <c r="L169">
        <f t="shared" si="23"/>
        <v>120.04454081483696</v>
      </c>
    </row>
    <row r="170" spans="1:12" x14ac:dyDescent="0.25">
      <c r="A170" s="2">
        <v>42297</v>
      </c>
      <c r="B170">
        <v>664.04</v>
      </c>
      <c r="C170">
        <v>650.28</v>
      </c>
      <c r="D170" s="2"/>
      <c r="E170">
        <f t="shared" si="16"/>
        <v>2106.236883796651</v>
      </c>
      <c r="F170">
        <f t="shared" si="17"/>
        <v>3061.8021544441453</v>
      </c>
      <c r="G170">
        <f t="shared" si="18"/>
        <v>3820.7630651347699</v>
      </c>
      <c r="H170">
        <f t="shared" si="19"/>
        <v>3704.1157553642483</v>
      </c>
      <c r="I170">
        <f t="shared" si="20"/>
        <v>3038.4913522708357</v>
      </c>
      <c r="J170">
        <f t="shared" si="21"/>
        <v>653.80933177544614</v>
      </c>
      <c r="K170">
        <f t="shared" si="22"/>
        <v>-8.3906682245539059</v>
      </c>
      <c r="L170">
        <f t="shared" si="23"/>
        <v>70.403313254538602</v>
      </c>
    </row>
    <row r="171" spans="1:12" x14ac:dyDescent="0.25">
      <c r="A171" s="2">
        <v>42298</v>
      </c>
      <c r="B171">
        <v>654.15</v>
      </c>
      <c r="C171">
        <v>642.61</v>
      </c>
      <c r="D171" s="2"/>
      <c r="E171">
        <f t="shared" si="16"/>
        <v>2132.4849693134206</v>
      </c>
      <c r="F171">
        <f t="shared" si="17"/>
        <v>3096.4541918181703</v>
      </c>
      <c r="G171">
        <f t="shared" si="18"/>
        <v>3851.7808766866515</v>
      </c>
      <c r="H171">
        <f t="shared" si="19"/>
        <v>3745.6969359010723</v>
      </c>
      <c r="I171">
        <f t="shared" si="20"/>
        <v>3073.630951114701</v>
      </c>
      <c r="J171">
        <f t="shared" si="21"/>
        <v>661.79106737754307</v>
      </c>
      <c r="K171">
        <f t="shared" si="22"/>
        <v>-4.3089326224569504</v>
      </c>
      <c r="L171">
        <f t="shared" si="23"/>
        <v>18.566900344873734</v>
      </c>
    </row>
    <row r="172" spans="1:12" x14ac:dyDescent="0.25">
      <c r="A172" s="2">
        <v>42299</v>
      </c>
      <c r="B172">
        <v>646.70000000000005</v>
      </c>
      <c r="C172">
        <v>651.79</v>
      </c>
      <c r="D172" s="2"/>
      <c r="E172">
        <f t="shared" si="16"/>
        <v>2130.3594928631146</v>
      </c>
      <c r="F172">
        <f t="shared" si="17"/>
        <v>3099.350365066658</v>
      </c>
      <c r="G172">
        <f t="shared" si="18"/>
        <v>3874.8744906742745</v>
      </c>
      <c r="H172">
        <f t="shared" si="19"/>
        <v>3752.2412549818941</v>
      </c>
      <c r="I172">
        <f t="shared" si="20"/>
        <v>3076.1380424205254</v>
      </c>
      <c r="J172">
        <f t="shared" si="21"/>
        <v>661.41353576174731</v>
      </c>
      <c r="K172">
        <f t="shared" si="22"/>
        <v>11.133535761747339</v>
      </c>
      <c r="L172">
        <f t="shared" si="23"/>
        <v>123.95561855810691</v>
      </c>
    </row>
    <row r="173" spans="1:12" x14ac:dyDescent="0.25">
      <c r="A173" s="2">
        <v>42300</v>
      </c>
      <c r="B173">
        <v>727.5</v>
      </c>
      <c r="C173">
        <v>702</v>
      </c>
      <c r="D173" s="2"/>
      <c r="E173">
        <f t="shared" si="16"/>
        <v>2137.4907307350759</v>
      </c>
      <c r="F173">
        <f t="shared" si="17"/>
        <v>3107.8006461082787</v>
      </c>
      <c r="G173">
        <f t="shared" si="18"/>
        <v>3879.97209715493</v>
      </c>
      <c r="H173">
        <f t="shared" si="19"/>
        <v>3768.1691218701558</v>
      </c>
      <c r="I173">
        <f t="shared" si="20"/>
        <v>3085.9478578996996</v>
      </c>
      <c r="J173">
        <f t="shared" si="21"/>
        <v>663.56384422245674</v>
      </c>
      <c r="K173">
        <f t="shared" si="22"/>
        <v>20.953844222456723</v>
      </c>
      <c r="L173">
        <f t="shared" si="23"/>
        <v>439.06358769898299</v>
      </c>
    </row>
    <row r="174" spans="1:12" x14ac:dyDescent="0.25">
      <c r="A174" s="2">
        <v>42303</v>
      </c>
      <c r="B174">
        <v>701.55</v>
      </c>
      <c r="C174">
        <v>712.78</v>
      </c>
      <c r="D174" s="2"/>
      <c r="E174">
        <f t="shared" si="16"/>
        <v>2113.543706979005</v>
      </c>
      <c r="F174">
        <f t="shared" si="17"/>
        <v>3079.3919548918411</v>
      </c>
      <c r="G174">
        <f t="shared" si="18"/>
        <v>3868.5338693806707</v>
      </c>
      <c r="H174">
        <f t="shared" si="19"/>
        <v>3739.6879893304508</v>
      </c>
      <c r="I174">
        <f t="shared" si="20"/>
        <v>3057.7162353206363</v>
      </c>
      <c r="J174">
        <f t="shared" si="21"/>
        <v>656.4520283125803</v>
      </c>
      <c r="K174">
        <f t="shared" si="22"/>
        <v>4.6620283125803326</v>
      </c>
      <c r="L174">
        <f t="shared" si="23"/>
        <v>21.734507987300624</v>
      </c>
    </row>
    <row r="175" spans="1:12" x14ac:dyDescent="0.25">
      <c r="A175" s="2">
        <v>42304</v>
      </c>
      <c r="B175">
        <v>707.38</v>
      </c>
      <c r="C175">
        <v>708.49</v>
      </c>
      <c r="D175" s="2"/>
      <c r="E175">
        <f t="shared" si="16"/>
        <v>2089.8358586723675</v>
      </c>
      <c r="F175">
        <f t="shared" si="17"/>
        <v>3044.8737917739481</v>
      </c>
      <c r="G175">
        <f t="shared" si="18"/>
        <v>3826.8732921460805</v>
      </c>
      <c r="H175">
        <f t="shared" si="19"/>
        <v>3707.4771711589074</v>
      </c>
      <c r="I175">
        <f t="shared" si="20"/>
        <v>3025.1307109243708</v>
      </c>
      <c r="J175">
        <f t="shared" si="21"/>
        <v>649.14170453274733</v>
      </c>
      <c r="K175">
        <f t="shared" si="22"/>
        <v>-52.858295467252674</v>
      </c>
      <c r="L175">
        <f t="shared" si="23"/>
        <v>2793.9993997033844</v>
      </c>
    </row>
    <row r="176" spans="1:12" x14ac:dyDescent="0.25">
      <c r="A176" s="2">
        <v>42305</v>
      </c>
      <c r="B176">
        <v>707.33</v>
      </c>
      <c r="C176">
        <v>712.95</v>
      </c>
      <c r="D176" s="2"/>
      <c r="E176">
        <f t="shared" si="16"/>
        <v>2288.7665991033646</v>
      </c>
      <c r="F176">
        <f t="shared" si="17"/>
        <v>3285.425945455675</v>
      </c>
      <c r="G176">
        <f t="shared" si="18"/>
        <v>3994.7847359251655</v>
      </c>
      <c r="H176">
        <f t="shared" si="19"/>
        <v>3930.2401777056402</v>
      </c>
      <c r="I176">
        <f t="shared" si="20"/>
        <v>3258.0036609012136</v>
      </c>
      <c r="J176">
        <f t="shared" si="21"/>
        <v>708.29700121211852</v>
      </c>
      <c r="K176">
        <f t="shared" si="22"/>
        <v>-4.4829987878814563</v>
      </c>
      <c r="L176">
        <f t="shared" si="23"/>
        <v>20.097278132146606</v>
      </c>
    </row>
    <row r="177" spans="1:12" x14ac:dyDescent="0.25">
      <c r="A177" s="2">
        <v>42306</v>
      </c>
      <c r="B177">
        <v>710.5</v>
      </c>
      <c r="C177">
        <v>716.92</v>
      </c>
      <c r="D177" s="2"/>
      <c r="E177">
        <f t="shared" si="16"/>
        <v>2265.245904679743</v>
      </c>
      <c r="F177">
        <f t="shared" si="17"/>
        <v>3300.8842561895917</v>
      </c>
      <c r="G177">
        <f t="shared" si="18"/>
        <v>4117.9297417171483</v>
      </c>
      <c r="H177">
        <f t="shared" si="19"/>
        <v>3961.9976900569304</v>
      </c>
      <c r="I177">
        <f t="shared" si="20"/>
        <v>3267.3922783666958</v>
      </c>
      <c r="J177">
        <f t="shared" si="21"/>
        <v>703.27225127686961</v>
      </c>
      <c r="K177">
        <f t="shared" si="22"/>
        <v>-5.2177487231303985</v>
      </c>
      <c r="L177">
        <f t="shared" si="23"/>
        <v>27.224901737728903</v>
      </c>
    </row>
    <row r="178" spans="1:12" x14ac:dyDescent="0.25">
      <c r="A178" s="2">
        <v>42307</v>
      </c>
      <c r="B178">
        <v>715.73</v>
      </c>
      <c r="C178">
        <v>710.81</v>
      </c>
      <c r="D178" s="2"/>
      <c r="E178">
        <f t="shared" si="16"/>
        <v>2278.6133959352969</v>
      </c>
      <c r="F178">
        <f t="shared" si="17"/>
        <v>3313.7370304240958</v>
      </c>
      <c r="G178">
        <f t="shared" si="18"/>
        <v>4102.8997821012381</v>
      </c>
      <c r="H178">
        <f t="shared" si="19"/>
        <v>4022.9429381270279</v>
      </c>
      <c r="I178">
        <f t="shared" si="20"/>
        <v>3293.5499284618622</v>
      </c>
      <c r="J178">
        <f t="shared" si="21"/>
        <v>707.40873041314353</v>
      </c>
      <c r="K178">
        <f t="shared" si="22"/>
        <v>-5.5412695868565152</v>
      </c>
      <c r="L178">
        <f t="shared" si="23"/>
        <v>30.705668634220974</v>
      </c>
    </row>
    <row r="179" spans="1:12" x14ac:dyDescent="0.25">
      <c r="A179" s="2">
        <v>42310</v>
      </c>
      <c r="B179">
        <v>711.06</v>
      </c>
      <c r="C179">
        <v>721.11</v>
      </c>
      <c r="D179" s="2"/>
      <c r="E179">
        <f t="shared" si="16"/>
        <v>2277.5897355700035</v>
      </c>
      <c r="F179">
        <f t="shared" si="17"/>
        <v>3312.2415846628533</v>
      </c>
      <c r="G179">
        <f t="shared" si="18"/>
        <v>4157.2928361776558</v>
      </c>
      <c r="H179">
        <f t="shared" si="19"/>
        <v>4003.2882341685258</v>
      </c>
      <c r="I179">
        <f t="shared" si="20"/>
        <v>3287.8493050381662</v>
      </c>
      <c r="J179">
        <f t="shared" si="21"/>
        <v>706.99283768260511</v>
      </c>
      <c r="K179">
        <f t="shared" si="22"/>
        <v>-9.9271623173948456</v>
      </c>
      <c r="L179">
        <f t="shared" si="23"/>
        <v>98.548551675904207</v>
      </c>
    </row>
    <row r="180" spans="1:12" x14ac:dyDescent="0.25">
      <c r="A180" s="2">
        <v>42311</v>
      </c>
      <c r="B180">
        <v>718.86</v>
      </c>
      <c r="C180">
        <v>722.16</v>
      </c>
      <c r="D180" s="2"/>
      <c r="E180">
        <f t="shared" si="16"/>
        <v>2286.4877339414306</v>
      </c>
      <c r="F180">
        <f t="shared" si="17"/>
        <v>3324.0110427994127</v>
      </c>
      <c r="G180">
        <f t="shared" si="18"/>
        <v>4150.3636757008981</v>
      </c>
      <c r="H180">
        <f t="shared" si="19"/>
        <v>4033.6354863583601</v>
      </c>
      <c r="I180">
        <f t="shared" si="20"/>
        <v>3300.1791882893449</v>
      </c>
      <c r="J180">
        <f t="shared" si="21"/>
        <v>709.70892427762101</v>
      </c>
      <c r="K180">
        <f t="shared" si="22"/>
        <v>-1.1010757223789369</v>
      </c>
      <c r="L180">
        <f t="shared" si="23"/>
        <v>1.2123677464122977</v>
      </c>
    </row>
    <row r="181" spans="1:12" x14ac:dyDescent="0.25">
      <c r="A181" s="2">
        <v>42312</v>
      </c>
      <c r="B181">
        <v>722</v>
      </c>
      <c r="C181">
        <v>728.11</v>
      </c>
      <c r="D181" s="2"/>
      <c r="E181">
        <f t="shared" si="16"/>
        <v>2301.4125810069745</v>
      </c>
      <c r="F181">
        <f t="shared" si="17"/>
        <v>3344.2551551717188</v>
      </c>
      <c r="G181">
        <f t="shared" si="18"/>
        <v>4173.9647238960233</v>
      </c>
      <c r="H181">
        <f t="shared" si="19"/>
        <v>4049.2238845837414</v>
      </c>
      <c r="I181">
        <f t="shared" si="20"/>
        <v>3319.6828357496743</v>
      </c>
      <c r="J181">
        <f t="shared" si="21"/>
        <v>714.24992732431599</v>
      </c>
      <c r="K181">
        <f t="shared" si="22"/>
        <v>-6.8600726756840231</v>
      </c>
      <c r="L181">
        <f t="shared" si="23"/>
        <v>47.060597115666553</v>
      </c>
    </row>
    <row r="182" spans="1:12" x14ac:dyDescent="0.25">
      <c r="A182" s="2">
        <v>42313</v>
      </c>
      <c r="B182">
        <v>729.47</v>
      </c>
      <c r="C182">
        <v>731.25</v>
      </c>
      <c r="D182" s="2"/>
      <c r="E182">
        <f t="shared" si="16"/>
        <v>2292.8894339125491</v>
      </c>
      <c r="F182">
        <f t="shared" si="17"/>
        <v>3337.0902311859427</v>
      </c>
      <c r="G182">
        <f t="shared" si="18"/>
        <v>4177.0799855197283</v>
      </c>
      <c r="H182">
        <f t="shared" si="19"/>
        <v>4047.0215204224451</v>
      </c>
      <c r="I182">
        <f t="shared" si="20"/>
        <v>3312.9008507443114</v>
      </c>
      <c r="J182">
        <f t="shared" si="21"/>
        <v>711.86926915522781</v>
      </c>
      <c r="K182">
        <f t="shared" si="22"/>
        <v>-10.290730844772156</v>
      </c>
      <c r="L182">
        <f t="shared" si="23"/>
        <v>105.89914131954505</v>
      </c>
    </row>
    <row r="183" spans="1:12" x14ac:dyDescent="0.25">
      <c r="A183" s="2">
        <v>42314</v>
      </c>
      <c r="B183">
        <v>731.5</v>
      </c>
      <c r="C183">
        <v>733.76</v>
      </c>
      <c r="D183" s="2"/>
      <c r="E183">
        <f t="shared" si="16"/>
        <v>2310.9344595500324</v>
      </c>
      <c r="F183">
        <f t="shared" si="17"/>
        <v>3357.488648808273</v>
      </c>
      <c r="G183">
        <f t="shared" si="18"/>
        <v>4188.6539685751195</v>
      </c>
      <c r="H183">
        <f t="shared" si="19"/>
        <v>4069.1716445148704</v>
      </c>
      <c r="I183">
        <f t="shared" si="20"/>
        <v>3333.7907419128433</v>
      </c>
      <c r="J183">
        <f t="shared" si="21"/>
        <v>717.19388428237517</v>
      </c>
      <c r="K183">
        <f t="shared" si="22"/>
        <v>-10.916115717624848</v>
      </c>
      <c r="L183">
        <f t="shared" si="23"/>
        <v>119.16158236057625</v>
      </c>
    </row>
    <row r="184" spans="1:12" x14ac:dyDescent="0.25">
      <c r="A184" s="2">
        <v>42317</v>
      </c>
      <c r="B184">
        <v>730.2</v>
      </c>
      <c r="C184">
        <v>724.89</v>
      </c>
      <c r="D184" s="2"/>
      <c r="E184">
        <f t="shared" si="16"/>
        <v>2322.3359152423855</v>
      </c>
      <c r="F184">
        <f t="shared" si="17"/>
        <v>3375.3589073743242</v>
      </c>
      <c r="G184">
        <f t="shared" si="18"/>
        <v>4215.8862675922146</v>
      </c>
      <c r="H184">
        <f t="shared" si="19"/>
        <v>4085.7850253601841</v>
      </c>
      <c r="I184">
        <f t="shared" si="20"/>
        <v>3350.0287450699589</v>
      </c>
      <c r="J184">
        <f t="shared" si="21"/>
        <v>720.75482056384601</v>
      </c>
      <c r="K184">
        <f t="shared" si="22"/>
        <v>-10.49517943615399</v>
      </c>
      <c r="L184">
        <f t="shared" si="23"/>
        <v>110.14879139706957</v>
      </c>
    </row>
    <row r="185" spans="1:12" x14ac:dyDescent="0.25">
      <c r="A185" s="2">
        <v>42318</v>
      </c>
      <c r="B185">
        <v>724.4</v>
      </c>
      <c r="C185">
        <v>728.32</v>
      </c>
      <c r="D185" s="2"/>
      <c r="E185">
        <f t="shared" si="16"/>
        <v>2344.1292163853</v>
      </c>
      <c r="F185">
        <f t="shared" si="17"/>
        <v>3405.1467733020381</v>
      </c>
      <c r="G185">
        <f t="shared" si="18"/>
        <v>4241.5084936698795</v>
      </c>
      <c r="H185">
        <f t="shared" si="19"/>
        <v>4121.8822046835758</v>
      </c>
      <c r="I185">
        <f t="shared" si="20"/>
        <v>3380.0017231391703</v>
      </c>
      <c r="J185">
        <f t="shared" si="21"/>
        <v>727.42617680531214</v>
      </c>
      <c r="K185">
        <f t="shared" si="22"/>
        <v>-6.3338231946878523</v>
      </c>
      <c r="L185">
        <f t="shared" si="23"/>
        <v>40.117316261565833</v>
      </c>
    </row>
    <row r="186" spans="1:12" x14ac:dyDescent="0.25">
      <c r="A186" s="2">
        <v>42319</v>
      </c>
      <c r="B186">
        <v>732.46</v>
      </c>
      <c r="C186">
        <v>735.4</v>
      </c>
      <c r="D186" s="2"/>
      <c r="E186">
        <f t="shared" si="16"/>
        <v>2353.7553501519578</v>
      </c>
      <c r="F186">
        <f t="shared" si="17"/>
        <v>3421.6931133650005</v>
      </c>
      <c r="G186">
        <f t="shared" si="18"/>
        <v>4270.7578715045638</v>
      </c>
      <c r="H186">
        <f t="shared" si="19"/>
        <v>4141.2239404443417</v>
      </c>
      <c r="I186">
        <f t="shared" si="20"/>
        <v>3396.150417054057</v>
      </c>
      <c r="J186">
        <f t="shared" si="21"/>
        <v>730.52634844789145</v>
      </c>
      <c r="K186">
        <f t="shared" si="22"/>
        <v>5.6363484478914643</v>
      </c>
      <c r="L186">
        <f t="shared" si="23"/>
        <v>31.768423826048519</v>
      </c>
    </row>
    <row r="187" spans="1:12" x14ac:dyDescent="0.25">
      <c r="A187" s="2">
        <v>42320</v>
      </c>
      <c r="B187">
        <v>731</v>
      </c>
      <c r="C187">
        <v>731.23</v>
      </c>
      <c r="D187" s="2"/>
      <c r="E187">
        <f t="shared" si="16"/>
        <v>2352.7112037122029</v>
      </c>
      <c r="F187">
        <f t="shared" si="17"/>
        <v>3422.5585011690769</v>
      </c>
      <c r="G187">
        <f t="shared" si="18"/>
        <v>4278.2013627823799</v>
      </c>
      <c r="H187">
        <f t="shared" si="19"/>
        <v>4149.3325814409791</v>
      </c>
      <c r="I187">
        <f t="shared" si="20"/>
        <v>3398.006935946667</v>
      </c>
      <c r="J187">
        <f t="shared" si="21"/>
        <v>730.3413822328979</v>
      </c>
      <c r="K187">
        <f t="shared" si="22"/>
        <v>2.0213822328978495</v>
      </c>
      <c r="L187">
        <f t="shared" si="23"/>
        <v>4.0859861314750958</v>
      </c>
    </row>
    <row r="188" spans="1:12" x14ac:dyDescent="0.25">
      <c r="A188" s="2">
        <v>42321</v>
      </c>
      <c r="B188">
        <v>729.17</v>
      </c>
      <c r="C188">
        <v>717</v>
      </c>
      <c r="D188" s="2"/>
      <c r="E188">
        <f t="shared" si="16"/>
        <v>2337.6529076203333</v>
      </c>
      <c r="F188">
        <f t="shared" si="17"/>
        <v>3403.4721501368949</v>
      </c>
      <c r="G188">
        <f t="shared" si="18"/>
        <v>4267.4006600166085</v>
      </c>
      <c r="H188">
        <f t="shared" si="19"/>
        <v>4132.5701424336939</v>
      </c>
      <c r="I188">
        <f t="shared" si="20"/>
        <v>3379.8237905039978</v>
      </c>
      <c r="J188">
        <f t="shared" si="21"/>
        <v>725.82844049831363</v>
      </c>
      <c r="K188">
        <f t="shared" si="22"/>
        <v>-9.5715595016863517</v>
      </c>
      <c r="L188">
        <f t="shared" si="23"/>
        <v>91.614751294322275</v>
      </c>
    </row>
    <row r="189" spans="1:12" x14ac:dyDescent="0.25">
      <c r="A189" s="2">
        <v>42324</v>
      </c>
      <c r="B189">
        <v>715.6</v>
      </c>
      <c r="C189">
        <v>728.96</v>
      </c>
      <c r="D189" s="2"/>
      <c r="E189">
        <f t="shared" si="16"/>
        <v>2354.7384217930112</v>
      </c>
      <c r="F189">
        <f t="shared" si="17"/>
        <v>3421.1614081654125</v>
      </c>
      <c r="G189">
        <f t="shared" si="18"/>
        <v>4273.0178617883712</v>
      </c>
      <c r="H189">
        <f t="shared" si="19"/>
        <v>4148.5557191665112</v>
      </c>
      <c r="I189">
        <f t="shared" si="20"/>
        <v>3397.1556360467243</v>
      </c>
      <c r="J189">
        <f t="shared" si="21"/>
        <v>730.77184171362637</v>
      </c>
      <c r="K189">
        <f t="shared" si="22"/>
        <v>-0.45815828637364575</v>
      </c>
      <c r="L189">
        <f t="shared" si="23"/>
        <v>0.2099090153728356</v>
      </c>
    </row>
    <row r="190" spans="1:12" x14ac:dyDescent="0.25">
      <c r="A190" s="2">
        <v>42325</v>
      </c>
      <c r="B190">
        <v>729.29</v>
      </c>
      <c r="C190">
        <v>725.3</v>
      </c>
      <c r="D190" s="2"/>
      <c r="E190">
        <f t="shared" si="16"/>
        <v>2354.464299173861</v>
      </c>
      <c r="F190">
        <f t="shared" si="17"/>
        <v>3424.5815071406282</v>
      </c>
      <c r="G190">
        <f t="shared" si="18"/>
        <v>4285.3242210700255</v>
      </c>
      <c r="H190">
        <f t="shared" si="19"/>
        <v>4150.2730700933353</v>
      </c>
      <c r="I190">
        <f t="shared" si="20"/>
        <v>3399.1548167141109</v>
      </c>
      <c r="J190">
        <f t="shared" si="21"/>
        <v>730.83915987742284</v>
      </c>
      <c r="K190">
        <f t="shared" si="22"/>
        <v>13.839159877422844</v>
      </c>
      <c r="L190">
        <f t="shared" si="23"/>
        <v>191.52234611287028</v>
      </c>
    </row>
    <row r="191" spans="1:12" x14ac:dyDescent="0.25">
      <c r="A191" s="2">
        <v>42326</v>
      </c>
      <c r="B191">
        <v>727.58</v>
      </c>
      <c r="C191">
        <v>740</v>
      </c>
      <c r="D191" s="2"/>
      <c r="E191">
        <f t="shared" si="16"/>
        <v>2350.3003158921802</v>
      </c>
      <c r="F191">
        <f t="shared" si="17"/>
        <v>3419.6992726853723</v>
      </c>
      <c r="G191">
        <f t="shared" si="18"/>
        <v>4277.5921024057861</v>
      </c>
      <c r="H191">
        <f t="shared" si="19"/>
        <v>4150.6433865010868</v>
      </c>
      <c r="I191">
        <f t="shared" si="20"/>
        <v>3395.7058223047325</v>
      </c>
      <c r="J191">
        <f t="shared" si="21"/>
        <v>729.63803330070596</v>
      </c>
      <c r="K191">
        <f t="shared" si="22"/>
        <v>0.67803330070591983</v>
      </c>
      <c r="L191">
        <f t="shared" si="23"/>
        <v>0.45972915686616428</v>
      </c>
    </row>
    <row r="192" spans="1:12" x14ac:dyDescent="0.25">
      <c r="A192" s="2">
        <v>42327</v>
      </c>
      <c r="B192">
        <v>738.74</v>
      </c>
      <c r="C192">
        <v>738.41</v>
      </c>
      <c r="D192" s="2"/>
      <c r="E192">
        <f t="shared" si="16"/>
        <v>2314.7560705237811</v>
      </c>
      <c r="F192">
        <f t="shared" si="17"/>
        <v>3374.498281724706</v>
      </c>
      <c r="G192">
        <f t="shared" si="18"/>
        <v>4246.1081817086315</v>
      </c>
      <c r="H192">
        <f t="shared" si="19"/>
        <v>4104.4015549195301</v>
      </c>
      <c r="I192">
        <f t="shared" si="20"/>
        <v>3351.627194645479</v>
      </c>
      <c r="J192">
        <f t="shared" si="21"/>
        <v>718.95472586777862</v>
      </c>
      <c r="K192">
        <f t="shared" si="22"/>
        <v>-6.3452741322213342</v>
      </c>
      <c r="L192">
        <f t="shared" si="23"/>
        <v>40.262503813037206</v>
      </c>
    </row>
    <row r="193" spans="1:12" x14ac:dyDescent="0.25">
      <c r="A193" s="2">
        <v>42328</v>
      </c>
      <c r="B193">
        <v>746.53</v>
      </c>
      <c r="C193">
        <v>756.6</v>
      </c>
      <c r="D193" s="2"/>
      <c r="E193">
        <f t="shared" si="16"/>
        <v>2341.8419239659333</v>
      </c>
      <c r="F193">
        <f t="shared" si="17"/>
        <v>3400.1052800206053</v>
      </c>
      <c r="G193">
        <f t="shared" si="18"/>
        <v>4243.7004354833043</v>
      </c>
      <c r="H193">
        <f t="shared" si="19"/>
        <v>4125.690455275434</v>
      </c>
      <c r="I193">
        <f t="shared" si="20"/>
        <v>3377.0140731454949</v>
      </c>
      <c r="J193">
        <f t="shared" si="21"/>
        <v>726.68131893658324</v>
      </c>
      <c r="K193">
        <f t="shared" si="22"/>
        <v>-13.318681063416761</v>
      </c>
      <c r="L193">
        <f t="shared" si="23"/>
        <v>177.38726526901624</v>
      </c>
    </row>
    <row r="194" spans="1:12" x14ac:dyDescent="0.25">
      <c r="A194" s="2">
        <v>42331</v>
      </c>
      <c r="B194">
        <v>757.45</v>
      </c>
      <c r="C194">
        <v>755.98</v>
      </c>
      <c r="D194" s="2"/>
      <c r="E194">
        <f t="shared" si="16"/>
        <v>2342.748036990768</v>
      </c>
      <c r="F194">
        <f t="shared" si="17"/>
        <v>3407.1073345263221</v>
      </c>
      <c r="G194">
        <f t="shared" si="18"/>
        <v>4264.8773775228747</v>
      </c>
      <c r="H194">
        <f t="shared" si="19"/>
        <v>4126.2203582006423</v>
      </c>
      <c r="I194">
        <f t="shared" si="20"/>
        <v>3381.0081933013953</v>
      </c>
      <c r="J194">
        <f t="shared" si="21"/>
        <v>727.16831271029002</v>
      </c>
      <c r="K194">
        <f t="shared" si="22"/>
        <v>-11.241687289709944</v>
      </c>
      <c r="L194">
        <f t="shared" si="23"/>
        <v>126.3755331196261</v>
      </c>
    </row>
    <row r="195" spans="1:12" x14ac:dyDescent="0.25">
      <c r="A195" s="2">
        <v>42332</v>
      </c>
      <c r="B195">
        <v>752</v>
      </c>
      <c r="C195">
        <v>748.28</v>
      </c>
      <c r="D195" s="2"/>
      <c r="E195">
        <f t="shared" si="16"/>
        <v>2372.1922718248825</v>
      </c>
      <c r="F195">
        <f t="shared" si="17"/>
        <v>3444.4232177706149</v>
      </c>
      <c r="G195">
        <f t="shared" si="18"/>
        <v>4284.4625816673033</v>
      </c>
      <c r="H195">
        <f t="shared" si="19"/>
        <v>4171.1690701794332</v>
      </c>
      <c r="I195">
        <f t="shared" si="20"/>
        <v>3419.4636641550956</v>
      </c>
      <c r="J195">
        <f t="shared" si="21"/>
        <v>736.0602232250709</v>
      </c>
      <c r="K195">
        <f t="shared" si="22"/>
        <v>-20.539776774929123</v>
      </c>
      <c r="L195">
        <f t="shared" si="23"/>
        <v>421.88242996391784</v>
      </c>
    </row>
    <row r="196" spans="1:12" x14ac:dyDescent="0.25">
      <c r="A196" s="2">
        <v>42333</v>
      </c>
      <c r="B196">
        <v>748.14</v>
      </c>
      <c r="C196">
        <v>748.15</v>
      </c>
      <c r="D196" s="2"/>
      <c r="E196">
        <f t="shared" si="16"/>
        <v>2397.6192023938752</v>
      </c>
      <c r="F196">
        <f t="shared" si="17"/>
        <v>3481.940045674357</v>
      </c>
      <c r="G196">
        <f t="shared" si="18"/>
        <v>4337.5515990984113</v>
      </c>
      <c r="H196">
        <f t="shared" si="19"/>
        <v>4206.672527158662</v>
      </c>
      <c r="I196">
        <f t="shared" si="20"/>
        <v>3455.0682384174288</v>
      </c>
      <c r="J196">
        <f t="shared" si="21"/>
        <v>743.92844648845085</v>
      </c>
      <c r="K196">
        <f t="shared" si="22"/>
        <v>-12.051553511549173</v>
      </c>
      <c r="L196">
        <f t="shared" si="23"/>
        <v>145.2399420417332</v>
      </c>
    </row>
    <row r="197" spans="1:12" x14ac:dyDescent="0.25">
      <c r="A197" s="2">
        <v>42335</v>
      </c>
      <c r="B197">
        <v>748.46</v>
      </c>
      <c r="C197">
        <v>750.26</v>
      </c>
      <c r="D197" s="2"/>
      <c r="E197">
        <f t="shared" si="16"/>
        <v>2431.1547654497699</v>
      </c>
      <c r="F197">
        <f t="shared" si="17"/>
        <v>3529.3316333522107</v>
      </c>
      <c r="G197">
        <f t="shared" si="18"/>
        <v>4385.9132253281168</v>
      </c>
      <c r="H197">
        <f t="shared" si="19"/>
        <v>4264.950184720602</v>
      </c>
      <c r="I197">
        <f t="shared" si="20"/>
        <v>3502.409249133304</v>
      </c>
      <c r="J197">
        <f t="shared" si="21"/>
        <v>754.26199370971995</v>
      </c>
      <c r="K197">
        <f t="shared" si="22"/>
        <v>5.9819937097199727</v>
      </c>
      <c r="L197">
        <f t="shared" si="23"/>
        <v>35.784248743129318</v>
      </c>
    </row>
    <row r="198" spans="1:12" x14ac:dyDescent="0.25">
      <c r="A198" s="2">
        <v>42338</v>
      </c>
      <c r="B198">
        <v>748.81</v>
      </c>
      <c r="C198">
        <v>742.6</v>
      </c>
      <c r="D198" s="2"/>
      <c r="E198">
        <f t="shared" si="16"/>
        <v>2424.4228729245888</v>
      </c>
      <c r="F198">
        <f t="shared" si="17"/>
        <v>3528.2174426721913</v>
      </c>
      <c r="G198">
        <f t="shared" si="18"/>
        <v>4410.3867568371707</v>
      </c>
      <c r="H198">
        <f t="shared" si="19"/>
        <v>4271.9997203768798</v>
      </c>
      <c r="I198">
        <f t="shared" si="20"/>
        <v>3501.8915542758477</v>
      </c>
      <c r="J198">
        <f t="shared" si="21"/>
        <v>752.60926536587192</v>
      </c>
      <c r="K198">
        <f t="shared" si="22"/>
        <v>4.4592653658719428</v>
      </c>
      <c r="L198">
        <f t="shared" si="23"/>
        <v>19.885047603265033</v>
      </c>
    </row>
    <row r="199" spans="1:12" x14ac:dyDescent="0.25">
      <c r="A199" s="2">
        <v>42339</v>
      </c>
      <c r="B199">
        <v>747.11</v>
      </c>
      <c r="C199">
        <v>767.04</v>
      </c>
      <c r="D199" s="2"/>
      <c r="E199">
        <f t="shared" si="16"/>
        <v>2413.4273289054304</v>
      </c>
      <c r="F199">
        <f t="shared" si="17"/>
        <v>3513.0215287738724</v>
      </c>
      <c r="G199">
        <f t="shared" si="18"/>
        <v>4398.6047419879978</v>
      </c>
      <c r="H199">
        <f t="shared" si="19"/>
        <v>4265.6635091153239</v>
      </c>
      <c r="I199">
        <f t="shared" si="20"/>
        <v>3489.0671783805465</v>
      </c>
      <c r="J199">
        <f t="shared" si="21"/>
        <v>749.29268994953338</v>
      </c>
      <c r="K199">
        <f t="shared" si="22"/>
        <v>-0.96731005046660812</v>
      </c>
      <c r="L199">
        <f t="shared" si="23"/>
        <v>0.93568873373371197</v>
      </c>
    </row>
    <row r="200" spans="1:12" x14ac:dyDescent="0.25">
      <c r="A200" s="2">
        <v>42340</v>
      </c>
      <c r="B200">
        <v>768.9</v>
      </c>
      <c r="C200">
        <v>762.38</v>
      </c>
      <c r="D200" s="2"/>
      <c r="E200">
        <f t="shared" si="16"/>
        <v>2411.3241126889948</v>
      </c>
      <c r="F200">
        <f t="shared" si="17"/>
        <v>3507.5043543277816</v>
      </c>
      <c r="G200">
        <f t="shared" si="18"/>
        <v>4394.6492939793288</v>
      </c>
      <c r="H200">
        <f t="shared" si="19"/>
        <v>4256.8732810162728</v>
      </c>
      <c r="I200">
        <f t="shared" si="20"/>
        <v>3483.0940526991626</v>
      </c>
      <c r="J200">
        <f t="shared" si="21"/>
        <v>748.51029710589592</v>
      </c>
      <c r="K200">
        <f t="shared" si="22"/>
        <v>5.9102971058958929</v>
      </c>
      <c r="L200">
        <f t="shared" si="23"/>
        <v>34.931611879961366</v>
      </c>
    </row>
    <row r="201" spans="1:12" x14ac:dyDescent="0.25">
      <c r="A201" s="2">
        <v>42341</v>
      </c>
      <c r="B201">
        <v>766.01</v>
      </c>
      <c r="C201">
        <v>752.54</v>
      </c>
      <c r="D201" s="2"/>
      <c r="E201">
        <f t="shared" si="16"/>
        <v>2411.7830769032848</v>
      </c>
      <c r="F201">
        <f t="shared" si="17"/>
        <v>3507.7294907755349</v>
      </c>
      <c r="G201">
        <f t="shared" si="18"/>
        <v>4390.8293653593</v>
      </c>
      <c r="H201">
        <f t="shared" si="19"/>
        <v>4256.4480702519704</v>
      </c>
      <c r="I201">
        <f t="shared" si="20"/>
        <v>3482.7119945154923</v>
      </c>
      <c r="J201">
        <f t="shared" si="21"/>
        <v>748.61701107387717</v>
      </c>
      <c r="K201">
        <f t="shared" si="22"/>
        <v>-18.422988926122798</v>
      </c>
      <c r="L201">
        <f t="shared" si="23"/>
        <v>339.40652097204327</v>
      </c>
    </row>
    <row r="202" spans="1:12" x14ac:dyDescent="0.25">
      <c r="A202" s="2">
        <v>42342</v>
      </c>
      <c r="B202">
        <v>753.1</v>
      </c>
      <c r="C202">
        <v>766.81</v>
      </c>
      <c r="D202" s="2"/>
      <c r="E202">
        <f t="shared" si="16"/>
        <v>2407.7185474362982</v>
      </c>
      <c r="F202">
        <f t="shared" si="17"/>
        <v>3502.9420753665686</v>
      </c>
      <c r="G202">
        <f t="shared" si="18"/>
        <v>4385.3262923847533</v>
      </c>
      <c r="H202">
        <f t="shared" si="19"/>
        <v>4251.1427692975449</v>
      </c>
      <c r="I202">
        <f t="shared" si="20"/>
        <v>3478.0847338578242</v>
      </c>
      <c r="J202">
        <f t="shared" si="21"/>
        <v>747.414626407269</v>
      </c>
      <c r="K202">
        <f t="shared" si="22"/>
        <v>-14.965373592730998</v>
      </c>
      <c r="L202">
        <f t="shared" si="23"/>
        <v>223.96240677001029</v>
      </c>
    </row>
    <row r="203" spans="1:12" x14ac:dyDescent="0.25">
      <c r="A203" s="2">
        <v>42345</v>
      </c>
      <c r="B203">
        <v>767.77</v>
      </c>
      <c r="C203">
        <v>763.25</v>
      </c>
      <c r="D203" s="2"/>
      <c r="E203">
        <f t="shared" ref="E203:E252" si="24">SUMPRODUCT($E$2:$E$6,B196:B200)+$E$7</f>
        <v>2461.9990042116488</v>
      </c>
      <c r="F203">
        <f t="shared" ref="F203:F252" si="25">SUMPRODUCT($F$2:$F$6,B196:B200)+$F$7</f>
        <v>3569.1802183601849</v>
      </c>
      <c r="G203">
        <f t="shared" ref="G203:G252" si="26">SUMPRODUCT($G$2:$G$6,B196:B200)+$G$7</f>
        <v>4432.4902215681914</v>
      </c>
      <c r="H203">
        <f t="shared" ref="H203:H252" si="27">SUMPRODUCT($H$2:$H$6,B196:B200)+$H$7</f>
        <v>4314.1936914741855</v>
      </c>
      <c r="I203">
        <f t="shared" ref="I203:I252" si="28">SUMPRODUCT($I$2:$I$6,B196:B200)+$I$7</f>
        <v>3542.6529480291993</v>
      </c>
      <c r="J203">
        <f t="shared" ref="J203:J252" si="29">$J$2*E203+$J$3*F203+$J$4*G203+$J$5*H203+$J$6*I203+$J$7</f>
        <v>763.59490655380307</v>
      </c>
      <c r="K203">
        <f t="shared" ref="K203:K252" si="30">$J203-C201</f>
        <v>11.054906553803107</v>
      </c>
      <c r="L203">
        <f t="shared" ref="L203:L252" si="31">K203^2</f>
        <v>122.21095891331889</v>
      </c>
    </row>
    <row r="204" spans="1:12" x14ac:dyDescent="0.25">
      <c r="A204" s="2">
        <v>42346</v>
      </c>
      <c r="B204">
        <v>757.89</v>
      </c>
      <c r="C204">
        <v>762.37</v>
      </c>
      <c r="D204" s="2"/>
      <c r="E204">
        <f t="shared" si="24"/>
        <v>2466.0991038249986</v>
      </c>
      <c r="F204">
        <f t="shared" si="25"/>
        <v>3586.3098696178381</v>
      </c>
      <c r="G204">
        <f t="shared" si="26"/>
        <v>4477.4111271854317</v>
      </c>
      <c r="H204">
        <f t="shared" si="27"/>
        <v>4335.4106043152597</v>
      </c>
      <c r="I204">
        <f t="shared" si="28"/>
        <v>3557.8367194001562</v>
      </c>
      <c r="J204">
        <f t="shared" si="29"/>
        <v>765.36363070524044</v>
      </c>
      <c r="K204">
        <f t="shared" si="30"/>
        <v>-1.4463692947595064</v>
      </c>
      <c r="L204">
        <f t="shared" si="31"/>
        <v>2.091984136823112</v>
      </c>
    </row>
    <row r="205" spans="1:12" x14ac:dyDescent="0.25">
      <c r="A205" s="2">
        <v>42347</v>
      </c>
      <c r="B205">
        <v>759.17</v>
      </c>
      <c r="C205">
        <v>751.61</v>
      </c>
      <c r="D205" s="2"/>
      <c r="E205">
        <f t="shared" si="24"/>
        <v>2435.2597501508367</v>
      </c>
      <c r="F205">
        <f t="shared" si="25"/>
        <v>3549.4822659196052</v>
      </c>
      <c r="G205">
        <f t="shared" si="26"/>
        <v>4449.6048652426762</v>
      </c>
      <c r="H205">
        <f t="shared" si="27"/>
        <v>4314.5865247496467</v>
      </c>
      <c r="I205">
        <f t="shared" si="28"/>
        <v>3525.4731953409409</v>
      </c>
      <c r="J205">
        <f t="shared" si="29"/>
        <v>756.29192392805408</v>
      </c>
      <c r="K205">
        <f t="shared" si="30"/>
        <v>-6.9580760719459249</v>
      </c>
      <c r="L205">
        <f t="shared" si="31"/>
        <v>48.414822622986435</v>
      </c>
    </row>
    <row r="206" spans="1:12" x14ac:dyDescent="0.25">
      <c r="A206" s="2">
        <v>42348</v>
      </c>
      <c r="B206">
        <v>752.85</v>
      </c>
      <c r="C206">
        <v>749.46</v>
      </c>
      <c r="D206" s="2"/>
      <c r="E206">
        <f t="shared" si="24"/>
        <v>2465.0148014099664</v>
      </c>
      <c r="F206">
        <f t="shared" si="25"/>
        <v>3578.6198015377431</v>
      </c>
      <c r="G206">
        <f t="shared" si="26"/>
        <v>4465.7794882935787</v>
      </c>
      <c r="H206">
        <f t="shared" si="27"/>
        <v>4336.9145672251252</v>
      </c>
      <c r="I206">
        <f t="shared" si="28"/>
        <v>3554.0966780613348</v>
      </c>
      <c r="J206">
        <f t="shared" si="29"/>
        <v>764.8225056620123</v>
      </c>
      <c r="K206">
        <f t="shared" si="30"/>
        <v>2.4525056620122996</v>
      </c>
      <c r="L206">
        <f t="shared" si="31"/>
        <v>6.0147840222023881</v>
      </c>
    </row>
    <row r="207" spans="1:12" x14ac:dyDescent="0.25">
      <c r="A207" s="2">
        <v>42349</v>
      </c>
      <c r="B207">
        <v>741.16</v>
      </c>
      <c r="C207">
        <v>738.87</v>
      </c>
      <c r="D207" s="2"/>
      <c r="E207">
        <f t="shared" si="24"/>
        <v>2445.8750636061632</v>
      </c>
      <c r="F207">
        <f t="shared" si="25"/>
        <v>3561.4655824967031</v>
      </c>
      <c r="G207">
        <f t="shared" si="26"/>
        <v>4469.8555052268966</v>
      </c>
      <c r="H207">
        <f t="shared" si="27"/>
        <v>4319.1225551982106</v>
      </c>
      <c r="I207">
        <f t="shared" si="28"/>
        <v>3534.64235622145</v>
      </c>
      <c r="J207">
        <f t="shared" si="29"/>
        <v>759.35106489978091</v>
      </c>
      <c r="K207">
        <f t="shared" si="30"/>
        <v>7.7410648997808948</v>
      </c>
      <c r="L207">
        <f t="shared" si="31"/>
        <v>59.924085782619798</v>
      </c>
    </row>
    <row r="208" spans="1:12" x14ac:dyDescent="0.25">
      <c r="A208" s="2">
        <v>42352</v>
      </c>
      <c r="B208">
        <v>741.79</v>
      </c>
      <c r="C208">
        <v>747.77</v>
      </c>
      <c r="D208" s="2"/>
      <c r="E208">
        <f t="shared" si="24"/>
        <v>2446.0929497029229</v>
      </c>
      <c r="F208">
        <f t="shared" si="25"/>
        <v>3558.1516332213214</v>
      </c>
      <c r="G208">
        <f t="shared" si="26"/>
        <v>4447.6867249986999</v>
      </c>
      <c r="H208">
        <f t="shared" si="27"/>
        <v>4323.1518782318826</v>
      </c>
      <c r="I208">
        <f t="shared" si="28"/>
        <v>3534.1881578703042</v>
      </c>
      <c r="J208">
        <f t="shared" si="29"/>
        <v>759.30898279359189</v>
      </c>
      <c r="K208">
        <f t="shared" si="30"/>
        <v>9.8489827935918584</v>
      </c>
      <c r="L208">
        <f t="shared" si="31"/>
        <v>97.002462068468489</v>
      </c>
    </row>
    <row r="209" spans="1:12" x14ac:dyDescent="0.25">
      <c r="A209" s="2">
        <v>42353</v>
      </c>
      <c r="B209">
        <v>753</v>
      </c>
      <c r="C209">
        <v>743.4</v>
      </c>
      <c r="D209" s="2"/>
      <c r="E209">
        <f t="shared" si="24"/>
        <v>2429.2557733614653</v>
      </c>
      <c r="F209">
        <f t="shared" si="25"/>
        <v>3536.7055517156286</v>
      </c>
      <c r="G209">
        <f t="shared" si="26"/>
        <v>4440.9018291432649</v>
      </c>
      <c r="H209">
        <f t="shared" si="27"/>
        <v>4293.4039908215964</v>
      </c>
      <c r="I209">
        <f t="shared" si="28"/>
        <v>3511.7665607008717</v>
      </c>
      <c r="J209">
        <f t="shared" si="29"/>
        <v>754.2115176931818</v>
      </c>
      <c r="K209">
        <f t="shared" si="30"/>
        <v>15.3415176931818</v>
      </c>
      <c r="L209">
        <f t="shared" si="31"/>
        <v>235.3621651302102</v>
      </c>
    </row>
    <row r="210" spans="1:12" x14ac:dyDescent="0.25">
      <c r="A210" s="2">
        <v>42354</v>
      </c>
      <c r="B210">
        <v>750</v>
      </c>
      <c r="C210">
        <v>758.09</v>
      </c>
      <c r="D210" s="2"/>
      <c r="E210">
        <f t="shared" si="24"/>
        <v>2396.4872498778104</v>
      </c>
      <c r="F210">
        <f t="shared" si="25"/>
        <v>3492.7776802862591</v>
      </c>
      <c r="G210">
        <f t="shared" si="26"/>
        <v>4392.603151069723</v>
      </c>
      <c r="H210">
        <f t="shared" si="27"/>
        <v>4252.8997500253527</v>
      </c>
      <c r="I210">
        <f t="shared" si="28"/>
        <v>3469.5911830156256</v>
      </c>
      <c r="J210">
        <f t="shared" si="29"/>
        <v>744.26962045366531</v>
      </c>
      <c r="K210">
        <f t="shared" si="30"/>
        <v>-3.5003795463346705</v>
      </c>
      <c r="L210">
        <f t="shared" si="31"/>
        <v>12.252656968398114</v>
      </c>
    </row>
    <row r="211" spans="1:12" x14ac:dyDescent="0.25">
      <c r="A211" s="2">
        <v>42355</v>
      </c>
      <c r="B211">
        <v>762.42</v>
      </c>
      <c r="C211">
        <v>749.43</v>
      </c>
      <c r="D211" s="2"/>
      <c r="E211">
        <f t="shared" si="24"/>
        <v>2390.8378485819326</v>
      </c>
      <c r="F211">
        <f t="shared" si="25"/>
        <v>3478.3401748547203</v>
      </c>
      <c r="G211">
        <f t="shared" si="26"/>
        <v>4363.8735729089303</v>
      </c>
      <c r="H211">
        <f t="shared" si="27"/>
        <v>4229.5365235400186</v>
      </c>
      <c r="I211">
        <f t="shared" si="28"/>
        <v>3455.2491458134027</v>
      </c>
      <c r="J211">
        <f t="shared" si="29"/>
        <v>742.21739337466624</v>
      </c>
      <c r="K211">
        <f t="shared" si="30"/>
        <v>-1.1826066253337331</v>
      </c>
      <c r="L211">
        <f t="shared" si="31"/>
        <v>1.3985584302832406</v>
      </c>
    </row>
    <row r="212" spans="1:12" x14ac:dyDescent="0.25">
      <c r="A212" s="2">
        <v>42356</v>
      </c>
      <c r="B212">
        <v>746.51</v>
      </c>
      <c r="C212">
        <v>739.31</v>
      </c>
      <c r="D212" s="2"/>
      <c r="E212">
        <f t="shared" si="24"/>
        <v>2417.729603931356</v>
      </c>
      <c r="F212">
        <f t="shared" si="25"/>
        <v>3510.3785512860577</v>
      </c>
      <c r="G212">
        <f t="shared" si="26"/>
        <v>4381.8510016620958</v>
      </c>
      <c r="H212">
        <f t="shared" si="27"/>
        <v>4252.592228789722</v>
      </c>
      <c r="I212">
        <f t="shared" si="28"/>
        <v>3484.6070502944358</v>
      </c>
      <c r="J212">
        <f t="shared" si="29"/>
        <v>750.15249255123547</v>
      </c>
      <c r="K212">
        <f t="shared" si="30"/>
        <v>-7.9375074487645634</v>
      </c>
      <c r="L212">
        <f t="shared" si="31"/>
        <v>63.00402449919293</v>
      </c>
    </row>
    <row r="213" spans="1:12" x14ac:dyDescent="0.25">
      <c r="A213" s="2">
        <v>42359</v>
      </c>
      <c r="B213">
        <v>746.13</v>
      </c>
      <c r="C213">
        <v>747.77</v>
      </c>
      <c r="D213" s="2"/>
      <c r="E213">
        <f t="shared" si="24"/>
        <v>2416.2430249720392</v>
      </c>
      <c r="F213">
        <f t="shared" si="25"/>
        <v>3514.946488002377</v>
      </c>
      <c r="G213">
        <f t="shared" si="26"/>
        <v>4394.3759075016305</v>
      </c>
      <c r="H213">
        <f t="shared" si="27"/>
        <v>4259.2824097793364</v>
      </c>
      <c r="I213">
        <f t="shared" si="28"/>
        <v>3488.5176971037263</v>
      </c>
      <c r="J213">
        <f t="shared" si="29"/>
        <v>750.00294200887379</v>
      </c>
      <c r="K213">
        <f t="shared" si="30"/>
        <v>0.57294200887383795</v>
      </c>
      <c r="L213">
        <f t="shared" si="31"/>
        <v>0.32826254553238898</v>
      </c>
    </row>
    <row r="214" spans="1:12" x14ac:dyDescent="0.25">
      <c r="A214" s="2">
        <v>42360</v>
      </c>
      <c r="B214">
        <v>751.65</v>
      </c>
      <c r="C214">
        <v>750</v>
      </c>
      <c r="D214" s="2"/>
      <c r="E214">
        <f t="shared" si="24"/>
        <v>2447.7999918265941</v>
      </c>
      <c r="F214">
        <f t="shared" si="25"/>
        <v>3553.8124367472865</v>
      </c>
      <c r="G214">
        <f t="shared" si="26"/>
        <v>4421.9224811406139</v>
      </c>
      <c r="H214">
        <f t="shared" si="27"/>
        <v>4301.8116486387917</v>
      </c>
      <c r="I214">
        <f t="shared" si="28"/>
        <v>3528.1782267632479</v>
      </c>
      <c r="J214">
        <f t="shared" si="29"/>
        <v>759.46816640888949</v>
      </c>
      <c r="K214">
        <f t="shared" si="30"/>
        <v>20.158166408889542</v>
      </c>
      <c r="L214">
        <f t="shared" si="31"/>
        <v>406.35167296848272</v>
      </c>
    </row>
    <row r="215" spans="1:12" x14ac:dyDescent="0.25">
      <c r="A215" s="2">
        <v>42361</v>
      </c>
      <c r="B215">
        <v>753.47</v>
      </c>
      <c r="C215">
        <v>750.31</v>
      </c>
      <c r="D215" s="2"/>
      <c r="E215">
        <f t="shared" si="24"/>
        <v>2413.7319858947621</v>
      </c>
      <c r="F215">
        <f t="shared" si="25"/>
        <v>3518.2648718383543</v>
      </c>
      <c r="G215">
        <f t="shared" si="26"/>
        <v>4420.4729663000562</v>
      </c>
      <c r="H215">
        <f t="shared" si="27"/>
        <v>4268.7898514420976</v>
      </c>
      <c r="I215">
        <f t="shared" si="28"/>
        <v>3492.4582895262402</v>
      </c>
      <c r="J215">
        <f t="shared" si="29"/>
        <v>749.57714291276613</v>
      </c>
      <c r="K215">
        <f t="shared" si="30"/>
        <v>1.8071429127661531</v>
      </c>
      <c r="L215">
        <f t="shared" si="31"/>
        <v>3.2657655071609359</v>
      </c>
    </row>
    <row r="216" spans="1:12" x14ac:dyDescent="0.25">
      <c r="A216" s="2">
        <v>42362</v>
      </c>
      <c r="B216">
        <v>749.55</v>
      </c>
      <c r="C216">
        <v>748.4</v>
      </c>
      <c r="D216" s="2"/>
      <c r="E216">
        <f t="shared" si="24"/>
        <v>2406.1695509465644</v>
      </c>
      <c r="F216">
        <f t="shared" si="25"/>
        <v>3501.6206513598499</v>
      </c>
      <c r="G216">
        <f t="shared" si="26"/>
        <v>4385.3858152033044</v>
      </c>
      <c r="H216">
        <f t="shared" si="27"/>
        <v>4259.3333431588553</v>
      </c>
      <c r="I216">
        <f t="shared" si="28"/>
        <v>3479.0370896849654</v>
      </c>
      <c r="J216">
        <f t="shared" si="29"/>
        <v>747.03242730322131</v>
      </c>
      <c r="K216">
        <f t="shared" si="30"/>
        <v>-2.9675726967786886</v>
      </c>
      <c r="L216">
        <f t="shared" si="31"/>
        <v>8.8064877106663388</v>
      </c>
    </row>
    <row r="217" spans="1:12" x14ac:dyDescent="0.25">
      <c r="A217" s="2">
        <v>42366</v>
      </c>
      <c r="B217">
        <v>752.92</v>
      </c>
      <c r="C217">
        <v>762.51</v>
      </c>
      <c r="D217" s="2"/>
      <c r="E217">
        <f t="shared" si="24"/>
        <v>2417.4682471724855</v>
      </c>
      <c r="F217">
        <f t="shared" si="25"/>
        <v>3513.2276698633527</v>
      </c>
      <c r="G217">
        <f t="shared" si="26"/>
        <v>4397.9158655497749</v>
      </c>
      <c r="H217">
        <f t="shared" si="27"/>
        <v>4258.6093962428913</v>
      </c>
      <c r="I217">
        <f t="shared" si="28"/>
        <v>3487.9433913158123</v>
      </c>
      <c r="J217">
        <f t="shared" si="29"/>
        <v>750.23963062940447</v>
      </c>
      <c r="K217">
        <f t="shared" si="30"/>
        <v>-7.0369370595471992E-2</v>
      </c>
      <c r="L217">
        <f t="shared" si="31"/>
        <v>4.9518483180028784E-3</v>
      </c>
    </row>
    <row r="218" spans="1:12" x14ac:dyDescent="0.25">
      <c r="A218" s="2">
        <v>42367</v>
      </c>
      <c r="B218">
        <v>766.69</v>
      </c>
      <c r="C218">
        <v>776.6</v>
      </c>
      <c r="D218" s="2"/>
      <c r="E218">
        <f t="shared" si="24"/>
        <v>2424.9726073993006</v>
      </c>
      <c r="F218">
        <f t="shared" si="25"/>
        <v>3525.5725486879037</v>
      </c>
      <c r="G218">
        <f t="shared" si="26"/>
        <v>4404.8061398041582</v>
      </c>
      <c r="H218">
        <f t="shared" si="27"/>
        <v>4274.0205858966865</v>
      </c>
      <c r="I218">
        <f t="shared" si="28"/>
        <v>3499.5832568659289</v>
      </c>
      <c r="J218">
        <f t="shared" si="29"/>
        <v>752.62033286018846</v>
      </c>
      <c r="K218">
        <f t="shared" si="30"/>
        <v>4.2203328601884778</v>
      </c>
      <c r="L218">
        <f t="shared" si="31"/>
        <v>17.811209450786656</v>
      </c>
    </row>
    <row r="219" spans="1:12" x14ac:dyDescent="0.25">
      <c r="A219" s="2">
        <v>42368</v>
      </c>
      <c r="B219">
        <v>776.6</v>
      </c>
      <c r="C219">
        <v>771</v>
      </c>
      <c r="D219" s="2"/>
      <c r="E219">
        <f t="shared" si="24"/>
        <v>2416.884119640572</v>
      </c>
      <c r="F219">
        <f t="shared" si="25"/>
        <v>3517.3408239798136</v>
      </c>
      <c r="G219">
        <f t="shared" si="26"/>
        <v>4402.3983332735024</v>
      </c>
      <c r="H219">
        <f t="shared" si="27"/>
        <v>4267.5445122939491</v>
      </c>
      <c r="I219">
        <f t="shared" si="28"/>
        <v>3492.309522463871</v>
      </c>
      <c r="J219">
        <f t="shared" si="29"/>
        <v>750.30538560594778</v>
      </c>
      <c r="K219">
        <f t="shared" si="30"/>
        <v>-12.204614394052214</v>
      </c>
      <c r="L219">
        <f t="shared" si="31"/>
        <v>148.9526125075065</v>
      </c>
    </row>
    <row r="220" spans="1:12" x14ac:dyDescent="0.25">
      <c r="A220" s="2">
        <v>42369</v>
      </c>
      <c r="B220">
        <v>769.5</v>
      </c>
      <c r="C220">
        <v>758.88</v>
      </c>
      <c r="D220" s="2"/>
      <c r="E220">
        <f t="shared" si="24"/>
        <v>2423.5929984353079</v>
      </c>
      <c r="F220">
        <f t="shared" si="25"/>
        <v>3523.6763202098173</v>
      </c>
      <c r="G220">
        <f t="shared" si="26"/>
        <v>4405.344711352348</v>
      </c>
      <c r="H220">
        <f t="shared" si="27"/>
        <v>4273.836002640156</v>
      </c>
      <c r="I220">
        <f t="shared" si="28"/>
        <v>3498.9653662069204</v>
      </c>
      <c r="J220">
        <f t="shared" si="29"/>
        <v>752.22757792096695</v>
      </c>
      <c r="K220">
        <f t="shared" si="30"/>
        <v>-24.372422079033072</v>
      </c>
      <c r="L220">
        <f t="shared" si="31"/>
        <v>594.01495799853876</v>
      </c>
    </row>
    <row r="221" spans="1:12" x14ac:dyDescent="0.25">
      <c r="A221" s="2">
        <v>42373</v>
      </c>
      <c r="B221">
        <v>743</v>
      </c>
      <c r="C221">
        <v>741.84</v>
      </c>
      <c r="D221" s="2"/>
      <c r="E221">
        <f t="shared" si="24"/>
        <v>2459.6348587751263</v>
      </c>
      <c r="F221">
        <f t="shared" si="25"/>
        <v>3569.6322465211178</v>
      </c>
      <c r="G221">
        <f t="shared" si="26"/>
        <v>4444.8935997277804</v>
      </c>
      <c r="H221">
        <f t="shared" si="27"/>
        <v>4317.3525370200823</v>
      </c>
      <c r="I221">
        <f t="shared" si="28"/>
        <v>3542.8793401531011</v>
      </c>
      <c r="J221">
        <f t="shared" si="29"/>
        <v>763.04530523251321</v>
      </c>
      <c r="K221">
        <f t="shared" si="30"/>
        <v>-7.9546947674867852</v>
      </c>
      <c r="L221">
        <f t="shared" si="31"/>
        <v>63.27716884388164</v>
      </c>
    </row>
    <row r="222" spans="1:12" x14ac:dyDescent="0.25">
      <c r="A222" s="2">
        <v>42374</v>
      </c>
      <c r="B222">
        <v>746.45</v>
      </c>
      <c r="C222">
        <v>742.58</v>
      </c>
      <c r="D222" s="2"/>
      <c r="E222">
        <f t="shared" si="24"/>
        <v>2492.6120066743247</v>
      </c>
      <c r="F222">
        <f t="shared" si="25"/>
        <v>3618.6495989487062</v>
      </c>
      <c r="G222">
        <f t="shared" si="26"/>
        <v>4500.0819107885482</v>
      </c>
      <c r="H222">
        <f t="shared" si="27"/>
        <v>4371.0916298589636</v>
      </c>
      <c r="I222">
        <f t="shared" si="28"/>
        <v>3590.2901922383307</v>
      </c>
      <c r="J222">
        <f t="shared" si="29"/>
        <v>773.28777428975468</v>
      </c>
      <c r="K222">
        <f t="shared" si="30"/>
        <v>14.407774289754684</v>
      </c>
      <c r="L222">
        <f t="shared" si="31"/>
        <v>207.5839599845161</v>
      </c>
    </row>
    <row r="223" spans="1:12" x14ac:dyDescent="0.25">
      <c r="A223" s="2">
        <v>42375</v>
      </c>
      <c r="B223">
        <v>730</v>
      </c>
      <c r="C223">
        <v>743.62</v>
      </c>
      <c r="D223" s="2"/>
      <c r="E223">
        <f t="shared" si="24"/>
        <v>2482.0904162515071</v>
      </c>
      <c r="F223">
        <f t="shared" si="25"/>
        <v>3613.088084159253</v>
      </c>
      <c r="G223">
        <f t="shared" si="26"/>
        <v>4516.0300300766512</v>
      </c>
      <c r="H223">
        <f t="shared" si="27"/>
        <v>4377.4096660268833</v>
      </c>
      <c r="I223">
        <f t="shared" si="28"/>
        <v>3586.4070915691732</v>
      </c>
      <c r="J223">
        <f t="shared" si="29"/>
        <v>770.53650498025888</v>
      </c>
      <c r="K223">
        <f t="shared" si="30"/>
        <v>28.696504980258851</v>
      </c>
      <c r="L223">
        <f t="shared" si="31"/>
        <v>823.48939808202101</v>
      </c>
    </row>
    <row r="224" spans="1:12" x14ac:dyDescent="0.25">
      <c r="A224" s="2">
        <v>42376</v>
      </c>
      <c r="B224">
        <v>730.31</v>
      </c>
      <c r="C224">
        <v>726.39</v>
      </c>
      <c r="D224" s="2"/>
      <c r="E224">
        <f t="shared" si="24"/>
        <v>2412.7661807525756</v>
      </c>
      <c r="F224">
        <f t="shared" si="25"/>
        <v>3524.6674399035164</v>
      </c>
      <c r="G224">
        <f t="shared" si="26"/>
        <v>4450.8765782491728</v>
      </c>
      <c r="H224">
        <f t="shared" si="27"/>
        <v>4297.7698986303803</v>
      </c>
      <c r="I224">
        <f t="shared" si="28"/>
        <v>3502.3073694262084</v>
      </c>
      <c r="J224">
        <f t="shared" si="29"/>
        <v>749.73713659006899</v>
      </c>
      <c r="K224">
        <f t="shared" si="30"/>
        <v>7.1571365900689443</v>
      </c>
      <c r="L224">
        <f t="shared" si="31"/>
        <v>51.224604168903717</v>
      </c>
    </row>
    <row r="225" spans="1:12" x14ac:dyDescent="0.25">
      <c r="A225" s="2">
        <v>42377</v>
      </c>
      <c r="B225">
        <v>731.45</v>
      </c>
      <c r="C225">
        <v>714.47</v>
      </c>
      <c r="D225" s="2"/>
      <c r="E225">
        <f t="shared" si="24"/>
        <v>2406.1955621330785</v>
      </c>
      <c r="F225">
        <f t="shared" si="25"/>
        <v>3500.6329112685885</v>
      </c>
      <c r="G225">
        <f t="shared" si="26"/>
        <v>4398.4958836865217</v>
      </c>
      <c r="H225">
        <f t="shared" si="27"/>
        <v>4264.979277965218</v>
      </c>
      <c r="I225">
        <f t="shared" si="28"/>
        <v>3479.3423363763841</v>
      </c>
      <c r="J225">
        <f t="shared" si="29"/>
        <v>747.02083373988478</v>
      </c>
      <c r="K225">
        <f t="shared" si="30"/>
        <v>3.4008337398847743</v>
      </c>
      <c r="L225">
        <f t="shared" si="31"/>
        <v>11.565670126338661</v>
      </c>
    </row>
    <row r="226" spans="1:12" x14ac:dyDescent="0.25">
      <c r="A226" s="2">
        <v>42380</v>
      </c>
      <c r="B226">
        <v>716.61</v>
      </c>
      <c r="C226">
        <v>716.03</v>
      </c>
      <c r="D226" s="2"/>
      <c r="E226">
        <f t="shared" si="24"/>
        <v>2362.3129014731999</v>
      </c>
      <c r="F226">
        <f t="shared" si="25"/>
        <v>3444.7007631785168</v>
      </c>
      <c r="G226">
        <f t="shared" si="26"/>
        <v>4351.1089443242299</v>
      </c>
      <c r="H226">
        <f t="shared" si="27"/>
        <v>4194.9217366307312</v>
      </c>
      <c r="I226">
        <f t="shared" si="28"/>
        <v>3420.7490504569419</v>
      </c>
      <c r="J226">
        <f t="shared" si="29"/>
        <v>733.73075291789451</v>
      </c>
      <c r="K226">
        <f t="shared" si="30"/>
        <v>7.3407529178945197</v>
      </c>
      <c r="L226">
        <f t="shared" si="31"/>
        <v>53.886653401576908</v>
      </c>
    </row>
    <row r="227" spans="1:12" x14ac:dyDescent="0.25">
      <c r="A227" s="2">
        <v>42381</v>
      </c>
      <c r="B227">
        <v>721.68</v>
      </c>
      <c r="C227">
        <v>726.07</v>
      </c>
      <c r="D227" s="2"/>
      <c r="E227">
        <f t="shared" si="24"/>
        <v>2354.8170437792933</v>
      </c>
      <c r="F227">
        <f t="shared" si="25"/>
        <v>3426.6188034838633</v>
      </c>
      <c r="G227">
        <f t="shared" si="26"/>
        <v>4296.6877570763181</v>
      </c>
      <c r="H227">
        <f t="shared" si="27"/>
        <v>4174.2053606108275</v>
      </c>
      <c r="I227">
        <f t="shared" si="28"/>
        <v>3404.6047450738965</v>
      </c>
      <c r="J227">
        <f t="shared" si="29"/>
        <v>731.10218182496976</v>
      </c>
      <c r="K227">
        <f t="shared" si="30"/>
        <v>16.632181824969734</v>
      </c>
      <c r="L227">
        <f t="shared" si="31"/>
        <v>276.62947225885358</v>
      </c>
    </row>
    <row r="228" spans="1:12" x14ac:dyDescent="0.25">
      <c r="A228" s="2">
        <v>42382</v>
      </c>
      <c r="B228">
        <v>730.85</v>
      </c>
      <c r="C228">
        <v>700.56</v>
      </c>
      <c r="D228" s="2"/>
      <c r="E228">
        <f t="shared" si="24"/>
        <v>2355.3186782526018</v>
      </c>
      <c r="F228">
        <f t="shared" si="25"/>
        <v>3425.1849015737462</v>
      </c>
      <c r="G228">
        <f t="shared" si="26"/>
        <v>4294.5203261578654</v>
      </c>
      <c r="H228">
        <f t="shared" si="27"/>
        <v>4156.366817477603</v>
      </c>
      <c r="I228">
        <f t="shared" si="28"/>
        <v>3400.7078753188875</v>
      </c>
      <c r="J228">
        <f t="shared" si="29"/>
        <v>731.09526445143661</v>
      </c>
      <c r="K228">
        <f t="shared" si="30"/>
        <v>15.065264451436633</v>
      </c>
      <c r="L228">
        <f t="shared" si="31"/>
        <v>226.96219299172031</v>
      </c>
    </row>
    <row r="229" spans="1:12" x14ac:dyDescent="0.25">
      <c r="A229" s="2">
        <v>42383</v>
      </c>
      <c r="B229">
        <v>705.38</v>
      </c>
      <c r="C229">
        <v>714.72</v>
      </c>
      <c r="D229" s="2"/>
      <c r="E229">
        <f t="shared" si="24"/>
        <v>2318.4266101016042</v>
      </c>
      <c r="F229">
        <f t="shared" si="25"/>
        <v>3380.2312804932071</v>
      </c>
      <c r="G229">
        <f t="shared" si="26"/>
        <v>4251.9942346128546</v>
      </c>
      <c r="H229">
        <f t="shared" si="27"/>
        <v>4114.1134959559095</v>
      </c>
      <c r="I229">
        <f t="shared" si="28"/>
        <v>3356.9710566566482</v>
      </c>
      <c r="J229">
        <f t="shared" si="29"/>
        <v>720.10332358149572</v>
      </c>
      <c r="K229">
        <f t="shared" si="30"/>
        <v>-5.9666764185043348</v>
      </c>
      <c r="L229">
        <f t="shared" si="31"/>
        <v>35.601227483135716</v>
      </c>
    </row>
    <row r="230" spans="1:12" x14ac:dyDescent="0.25">
      <c r="A230" s="2">
        <v>42384</v>
      </c>
      <c r="B230">
        <v>692.29</v>
      </c>
      <c r="C230">
        <v>694.45</v>
      </c>
      <c r="D230" s="2"/>
      <c r="E230">
        <f t="shared" si="24"/>
        <v>2323.4801883115333</v>
      </c>
      <c r="F230">
        <f t="shared" si="25"/>
        <v>3378.2688495359967</v>
      </c>
      <c r="G230">
        <f t="shared" si="26"/>
        <v>4228.9918825528703</v>
      </c>
      <c r="H230">
        <f t="shared" si="27"/>
        <v>4106.0365727286371</v>
      </c>
      <c r="I230">
        <f t="shared" si="28"/>
        <v>3356.0648694583851</v>
      </c>
      <c r="J230">
        <f t="shared" si="29"/>
        <v>721.24314569581145</v>
      </c>
      <c r="K230">
        <f t="shared" si="30"/>
        <v>20.683145695811504</v>
      </c>
      <c r="L230">
        <f t="shared" si="31"/>
        <v>427.79251587416593</v>
      </c>
    </row>
    <row r="231" spans="1:12" x14ac:dyDescent="0.25">
      <c r="A231" s="2">
        <v>42388</v>
      </c>
      <c r="B231">
        <v>703.3</v>
      </c>
      <c r="C231">
        <v>701.79</v>
      </c>
      <c r="D231" s="2"/>
      <c r="E231">
        <f t="shared" si="24"/>
        <v>2347.1010379822496</v>
      </c>
      <c r="F231">
        <f t="shared" si="25"/>
        <v>3408.3377749321608</v>
      </c>
      <c r="G231">
        <f t="shared" si="26"/>
        <v>4256.2365387098844</v>
      </c>
      <c r="H231">
        <f t="shared" si="27"/>
        <v>4125.9648078810296</v>
      </c>
      <c r="I231">
        <f t="shared" si="28"/>
        <v>3382.7831486272862</v>
      </c>
      <c r="J231">
        <f t="shared" si="29"/>
        <v>728.28346660982606</v>
      </c>
      <c r="K231">
        <f t="shared" si="30"/>
        <v>13.563466609826037</v>
      </c>
      <c r="L231">
        <f t="shared" si="31"/>
        <v>183.96762647586581</v>
      </c>
    </row>
    <row r="232" spans="1:12" x14ac:dyDescent="0.25">
      <c r="A232" s="2">
        <v>42389</v>
      </c>
      <c r="B232">
        <v>688.61</v>
      </c>
      <c r="C232">
        <v>698.45</v>
      </c>
      <c r="D232" s="2"/>
      <c r="E232">
        <f t="shared" si="24"/>
        <v>2288.3514909589785</v>
      </c>
      <c r="F232">
        <f t="shared" si="25"/>
        <v>3341.518022038128</v>
      </c>
      <c r="G232">
        <f t="shared" si="26"/>
        <v>4211.4703261781133</v>
      </c>
      <c r="H232">
        <f t="shared" si="27"/>
        <v>4067.6900818619688</v>
      </c>
      <c r="I232">
        <f t="shared" si="28"/>
        <v>3318.0501745115816</v>
      </c>
      <c r="J232">
        <f t="shared" si="29"/>
        <v>711.01415598901553</v>
      </c>
      <c r="K232">
        <f t="shared" si="30"/>
        <v>16.564155989015489</v>
      </c>
      <c r="L232">
        <f t="shared" si="31"/>
        <v>274.3712636284377</v>
      </c>
    </row>
    <row r="233" spans="1:12" x14ac:dyDescent="0.25">
      <c r="A233" s="2">
        <v>42390</v>
      </c>
      <c r="B233">
        <v>702.18</v>
      </c>
      <c r="C233">
        <v>706.59</v>
      </c>
      <c r="D233" s="2"/>
      <c r="E233">
        <f t="shared" si="24"/>
        <v>2243.0013656871211</v>
      </c>
      <c r="F233">
        <f t="shared" si="25"/>
        <v>3272.2957837925551</v>
      </c>
      <c r="G233">
        <f t="shared" si="26"/>
        <v>4127.5266433822426</v>
      </c>
      <c r="H233">
        <f t="shared" si="27"/>
        <v>3997.8090573519025</v>
      </c>
      <c r="I233">
        <f t="shared" si="28"/>
        <v>3253.5378144724459</v>
      </c>
      <c r="J233">
        <f t="shared" si="29"/>
        <v>696.89894924105579</v>
      </c>
      <c r="K233">
        <f t="shared" si="30"/>
        <v>-4.891050758944175</v>
      </c>
      <c r="L233">
        <f t="shared" si="31"/>
        <v>23.92237752656839</v>
      </c>
    </row>
    <row r="234" spans="1:12" x14ac:dyDescent="0.25">
      <c r="A234" s="2">
        <v>42391</v>
      </c>
      <c r="B234">
        <v>723.6</v>
      </c>
      <c r="C234">
        <v>725.25</v>
      </c>
      <c r="D234" s="2"/>
      <c r="E234">
        <f t="shared" si="24"/>
        <v>2259.8997107910764</v>
      </c>
      <c r="F234">
        <f t="shared" si="25"/>
        <v>3282.367020435051</v>
      </c>
      <c r="G234">
        <f t="shared" si="26"/>
        <v>4115.719055295679</v>
      </c>
      <c r="H234">
        <f t="shared" si="27"/>
        <v>3986.9131988960803</v>
      </c>
      <c r="I234">
        <f t="shared" si="28"/>
        <v>3260.2173147432459</v>
      </c>
      <c r="J234">
        <f t="shared" si="29"/>
        <v>701.35675672822049</v>
      </c>
      <c r="K234">
        <f t="shared" si="30"/>
        <v>2.9067567282204436</v>
      </c>
      <c r="L234">
        <f t="shared" si="31"/>
        <v>8.4492346770548181</v>
      </c>
    </row>
    <row r="235" spans="1:12" x14ac:dyDescent="0.25">
      <c r="A235" s="2">
        <v>42394</v>
      </c>
      <c r="B235">
        <v>723.58</v>
      </c>
      <c r="C235">
        <v>711.67</v>
      </c>
      <c r="D235" s="2"/>
      <c r="E235">
        <f t="shared" si="24"/>
        <v>2226.5996433135583</v>
      </c>
      <c r="F235">
        <f t="shared" si="25"/>
        <v>3245.6069775476708</v>
      </c>
      <c r="G235">
        <f t="shared" si="26"/>
        <v>4084.9274194634618</v>
      </c>
      <c r="H235">
        <f t="shared" si="27"/>
        <v>3946.7610997255256</v>
      </c>
      <c r="I235">
        <f t="shared" si="28"/>
        <v>3221.8728067925567</v>
      </c>
      <c r="J235">
        <f t="shared" si="29"/>
        <v>691.55786391379081</v>
      </c>
      <c r="K235">
        <f t="shared" si="30"/>
        <v>-15.032136086209221</v>
      </c>
      <c r="L235">
        <f t="shared" si="31"/>
        <v>225.96511531431346</v>
      </c>
    </row>
    <row r="236" spans="1:12" x14ac:dyDescent="0.25">
      <c r="A236" s="2">
        <v>42395</v>
      </c>
      <c r="B236">
        <v>713.85</v>
      </c>
      <c r="C236">
        <v>713.04</v>
      </c>
      <c r="D236" s="2"/>
      <c r="E236">
        <f t="shared" si="24"/>
        <v>2254.7713618398602</v>
      </c>
      <c r="F236">
        <f t="shared" si="25"/>
        <v>3273.6657469616703</v>
      </c>
      <c r="G236">
        <f t="shared" si="26"/>
        <v>4078.0539321789374</v>
      </c>
      <c r="H236">
        <f t="shared" si="27"/>
        <v>3973.0545152333784</v>
      </c>
      <c r="I236">
        <f t="shared" si="28"/>
        <v>3251.6465016067968</v>
      </c>
      <c r="J236">
        <f t="shared" si="29"/>
        <v>699.70876295670064</v>
      </c>
      <c r="K236">
        <f t="shared" si="30"/>
        <v>-25.541237043299361</v>
      </c>
      <c r="L236">
        <f t="shared" si="31"/>
        <v>652.35478970200745</v>
      </c>
    </row>
    <row r="237" spans="1:12" x14ac:dyDescent="0.25">
      <c r="A237" s="2">
        <v>42396</v>
      </c>
      <c r="B237">
        <v>713.67</v>
      </c>
      <c r="C237">
        <v>699.99</v>
      </c>
      <c r="D237" s="2"/>
      <c r="E237">
        <f t="shared" si="24"/>
        <v>2313.9675199081294</v>
      </c>
      <c r="F237">
        <f t="shared" si="25"/>
        <v>3352.5579095831172</v>
      </c>
      <c r="G237">
        <f t="shared" si="26"/>
        <v>4160.8056720805298</v>
      </c>
      <c r="H237">
        <f t="shared" si="27"/>
        <v>4040.0442796597267</v>
      </c>
      <c r="I237">
        <f t="shared" si="28"/>
        <v>3325.3952406051758</v>
      </c>
      <c r="J237">
        <f t="shared" si="29"/>
        <v>717.60013065876024</v>
      </c>
      <c r="K237">
        <f t="shared" si="30"/>
        <v>5.9301306587602767</v>
      </c>
      <c r="L237">
        <f t="shared" si="31"/>
        <v>35.166449629968596</v>
      </c>
    </row>
    <row r="238" spans="1:12" x14ac:dyDescent="0.25">
      <c r="A238" s="2">
        <v>42397</v>
      </c>
      <c r="B238">
        <v>722.22</v>
      </c>
      <c r="C238">
        <v>730.96</v>
      </c>
      <c r="D238" s="2"/>
      <c r="E238">
        <f t="shared" si="24"/>
        <v>2327.4978232828503</v>
      </c>
      <c r="F238">
        <f t="shared" si="25"/>
        <v>3383.2142223388814</v>
      </c>
      <c r="G238">
        <f t="shared" si="26"/>
        <v>4208.9634924895154</v>
      </c>
      <c r="H238">
        <f t="shared" si="27"/>
        <v>4087.0173215163018</v>
      </c>
      <c r="I238">
        <f t="shared" si="28"/>
        <v>3356.0618663955493</v>
      </c>
      <c r="J238">
        <f t="shared" si="29"/>
        <v>722.33031674029303</v>
      </c>
      <c r="K238">
        <f t="shared" si="30"/>
        <v>9.2903167402930649</v>
      </c>
      <c r="L238">
        <f t="shared" si="31"/>
        <v>86.309985134969565</v>
      </c>
    </row>
    <row r="239" spans="1:12" x14ac:dyDescent="0.25">
      <c r="A239" s="2">
        <v>42398</v>
      </c>
      <c r="B239">
        <v>731.53</v>
      </c>
      <c r="C239">
        <v>742.95</v>
      </c>
      <c r="D239" s="2"/>
      <c r="E239">
        <f t="shared" si="24"/>
        <v>2306.1856861895567</v>
      </c>
      <c r="F239">
        <f t="shared" si="25"/>
        <v>3359.7408702326948</v>
      </c>
      <c r="G239">
        <f t="shared" si="26"/>
        <v>4205.279696446386</v>
      </c>
      <c r="H239">
        <f t="shared" si="27"/>
        <v>4076.8276773274983</v>
      </c>
      <c r="I239">
        <f t="shared" si="28"/>
        <v>3336.4696567049468</v>
      </c>
      <c r="J239">
        <f t="shared" si="29"/>
        <v>716.17572797020046</v>
      </c>
      <c r="K239">
        <f t="shared" si="30"/>
        <v>16.185727970200446</v>
      </c>
      <c r="L239">
        <f t="shared" si="31"/>
        <v>261.97778992532903</v>
      </c>
    </row>
    <row r="240" spans="1:12" x14ac:dyDescent="0.25">
      <c r="A240" s="2">
        <v>42401</v>
      </c>
      <c r="B240">
        <v>750.46</v>
      </c>
      <c r="C240">
        <v>752</v>
      </c>
      <c r="D240" s="2"/>
      <c r="E240">
        <f t="shared" si="24"/>
        <v>2300.5132348466168</v>
      </c>
      <c r="F240">
        <f t="shared" si="25"/>
        <v>3347.2338901422636</v>
      </c>
      <c r="G240">
        <f t="shared" si="26"/>
        <v>4195.5389270344695</v>
      </c>
      <c r="H240">
        <f t="shared" si="27"/>
        <v>4064.6319988951973</v>
      </c>
      <c r="I240">
        <f t="shared" si="28"/>
        <v>3324.8472063906456</v>
      </c>
      <c r="J240">
        <f t="shared" si="29"/>
        <v>714.23014420445134</v>
      </c>
      <c r="K240">
        <f t="shared" si="30"/>
        <v>-16.729855795548701</v>
      </c>
      <c r="L240">
        <f t="shared" si="31"/>
        <v>279.88807493985445</v>
      </c>
    </row>
    <row r="241" spans="1:12" x14ac:dyDescent="0.25">
      <c r="A241" s="2">
        <v>42402</v>
      </c>
      <c r="B241">
        <v>784.5</v>
      </c>
      <c r="C241">
        <v>764.65</v>
      </c>
      <c r="D241" s="2"/>
      <c r="E241">
        <f t="shared" si="24"/>
        <v>2320.5438495951767</v>
      </c>
      <c r="F241">
        <f t="shared" si="25"/>
        <v>3370.593308171125</v>
      </c>
      <c r="G241">
        <f t="shared" si="26"/>
        <v>4210.4211440488307</v>
      </c>
      <c r="H241">
        <f t="shared" si="27"/>
        <v>4084.1838555107224</v>
      </c>
      <c r="I241">
        <f t="shared" si="28"/>
        <v>3346.1057299840058</v>
      </c>
      <c r="J241">
        <f t="shared" si="29"/>
        <v>720.11374238754138</v>
      </c>
      <c r="K241">
        <f t="shared" si="30"/>
        <v>-22.836257612458667</v>
      </c>
      <c r="L241">
        <f t="shared" si="31"/>
        <v>521.49466174257645</v>
      </c>
    </row>
    <row r="242" spans="1:12" x14ac:dyDescent="0.25">
      <c r="A242" s="2">
        <v>42403</v>
      </c>
      <c r="B242">
        <v>770.22</v>
      </c>
      <c r="C242">
        <v>726.95</v>
      </c>
      <c r="D242" s="2"/>
      <c r="E242">
        <f t="shared" si="24"/>
        <v>2348.6554652948207</v>
      </c>
      <c r="F242">
        <f t="shared" si="25"/>
        <v>3410.1668365265459</v>
      </c>
      <c r="G242">
        <f t="shared" si="26"/>
        <v>4246.2003303629481</v>
      </c>
      <c r="H242">
        <f t="shared" si="27"/>
        <v>4124.5532047106626</v>
      </c>
      <c r="I242">
        <f t="shared" si="28"/>
        <v>3384.0876779961181</v>
      </c>
      <c r="J242">
        <f t="shared" si="29"/>
        <v>728.73241171779148</v>
      </c>
      <c r="K242">
        <f t="shared" si="30"/>
        <v>-23.267588282208521</v>
      </c>
      <c r="L242">
        <f t="shared" si="31"/>
        <v>541.38066447036726</v>
      </c>
    </row>
    <row r="243" spans="1:12" x14ac:dyDescent="0.25">
      <c r="A243" s="2">
        <v>42404</v>
      </c>
      <c r="B243">
        <v>722.81</v>
      </c>
      <c r="C243">
        <v>708.01</v>
      </c>
      <c r="D243" s="2"/>
      <c r="E243">
        <f t="shared" si="24"/>
        <v>2402.8694892234826</v>
      </c>
      <c r="F243">
        <f t="shared" si="25"/>
        <v>3483.6428337181719</v>
      </c>
      <c r="G243">
        <f t="shared" si="26"/>
        <v>4316.6632394049539</v>
      </c>
      <c r="H243">
        <f t="shared" si="27"/>
        <v>4202.2688982768896</v>
      </c>
      <c r="I243">
        <f t="shared" si="28"/>
        <v>3456.3179230766664</v>
      </c>
      <c r="J243">
        <f t="shared" si="29"/>
        <v>745.25821058161898</v>
      </c>
      <c r="K243">
        <f t="shared" si="30"/>
        <v>-19.391789418380995</v>
      </c>
      <c r="L243">
        <f t="shared" si="31"/>
        <v>376.04149684683313</v>
      </c>
    </row>
    <row r="244" spans="1:12" x14ac:dyDescent="0.25">
      <c r="A244" s="2">
        <v>42405</v>
      </c>
      <c r="B244">
        <v>703.87</v>
      </c>
      <c r="C244">
        <v>683.57</v>
      </c>
      <c r="D244" s="2"/>
      <c r="E244">
        <f t="shared" si="24"/>
        <v>2500.5904362351612</v>
      </c>
      <c r="F244">
        <f t="shared" si="25"/>
        <v>3616.4683892202029</v>
      </c>
      <c r="G244">
        <f t="shared" si="26"/>
        <v>4451.5390066764749</v>
      </c>
      <c r="H244">
        <f t="shared" si="27"/>
        <v>4342.1643344900522</v>
      </c>
      <c r="I244">
        <f t="shared" si="28"/>
        <v>3585.8455335136282</v>
      </c>
      <c r="J244">
        <f t="shared" si="29"/>
        <v>775.04016439098007</v>
      </c>
      <c r="K244">
        <f t="shared" si="30"/>
        <v>48.090164390980021</v>
      </c>
      <c r="L244">
        <f t="shared" si="31"/>
        <v>2312.6639111514828</v>
      </c>
    </row>
    <row r="245" spans="1:12" x14ac:dyDescent="0.25">
      <c r="A245" s="2">
        <v>42408</v>
      </c>
      <c r="B245">
        <v>667.85</v>
      </c>
      <c r="C245">
        <v>682.74</v>
      </c>
      <c r="D245" s="2"/>
      <c r="E245">
        <f t="shared" si="24"/>
        <v>2485.6305291455114</v>
      </c>
      <c r="F245">
        <f t="shared" si="25"/>
        <v>3619.7230349375459</v>
      </c>
      <c r="G245">
        <f t="shared" si="26"/>
        <v>4514.9284567974419</v>
      </c>
      <c r="H245">
        <f t="shared" si="27"/>
        <v>4369.3942160689858</v>
      </c>
      <c r="I245">
        <f t="shared" si="28"/>
        <v>3589.9662653342939</v>
      </c>
      <c r="J245">
        <f t="shared" si="29"/>
        <v>771.63502092705255</v>
      </c>
      <c r="K245">
        <f t="shared" si="30"/>
        <v>63.62502092705256</v>
      </c>
      <c r="L245">
        <f t="shared" si="31"/>
        <v>4048.1432879678764</v>
      </c>
    </row>
    <row r="246" spans="1:12" x14ac:dyDescent="0.25">
      <c r="A246" s="2">
        <v>42409</v>
      </c>
      <c r="B246">
        <v>672.32</v>
      </c>
      <c r="C246">
        <v>678.11</v>
      </c>
      <c r="D246" s="2"/>
      <c r="E246">
        <f t="shared" si="24"/>
        <v>2363.2876094759031</v>
      </c>
      <c r="F246">
        <f t="shared" si="25"/>
        <v>3464.9350147728655</v>
      </c>
      <c r="G246">
        <f t="shared" si="26"/>
        <v>4398.6116407827003</v>
      </c>
      <c r="H246">
        <f t="shared" si="27"/>
        <v>4241.9446009117419</v>
      </c>
      <c r="I246">
        <f t="shared" si="28"/>
        <v>3445.3674369851792</v>
      </c>
      <c r="J246">
        <f t="shared" si="29"/>
        <v>735.04923162450052</v>
      </c>
      <c r="K246">
        <f t="shared" si="30"/>
        <v>51.479231624500471</v>
      </c>
      <c r="L246">
        <f t="shared" si="31"/>
        <v>2650.1112886489695</v>
      </c>
    </row>
    <row r="247" spans="1:12" x14ac:dyDescent="0.25">
      <c r="A247" s="2">
        <v>42410</v>
      </c>
      <c r="B247">
        <v>686.86</v>
      </c>
      <c r="C247">
        <v>684.12</v>
      </c>
      <c r="D247" s="2"/>
      <c r="E247">
        <f t="shared" si="24"/>
        <v>2287.7441696636934</v>
      </c>
      <c r="F247">
        <f t="shared" si="25"/>
        <v>3342.810784476248</v>
      </c>
      <c r="G247">
        <f t="shared" si="26"/>
        <v>4256.2044625614935</v>
      </c>
      <c r="H247">
        <f t="shared" si="27"/>
        <v>4104.700457922545</v>
      </c>
      <c r="I247">
        <f t="shared" si="28"/>
        <v>3327.0898537467806</v>
      </c>
      <c r="J247">
        <f t="shared" si="29"/>
        <v>711.11211479458518</v>
      </c>
      <c r="K247">
        <f t="shared" si="30"/>
        <v>28.372114794585173</v>
      </c>
      <c r="L247">
        <f t="shared" si="31"/>
        <v>804.97689791711878</v>
      </c>
    </row>
    <row r="248" spans="1:12" x14ac:dyDescent="0.25">
      <c r="A248" s="2">
        <v>42411</v>
      </c>
      <c r="B248">
        <v>675</v>
      </c>
      <c r="C248">
        <v>683.11</v>
      </c>
      <c r="D248" s="2"/>
      <c r="E248">
        <f t="shared" si="24"/>
        <v>2179.1036901495618</v>
      </c>
      <c r="F248">
        <f t="shared" si="25"/>
        <v>3191.3079935494543</v>
      </c>
      <c r="G248">
        <f t="shared" si="26"/>
        <v>4094.797969015096</v>
      </c>
      <c r="H248">
        <f t="shared" si="27"/>
        <v>3925.9817128100872</v>
      </c>
      <c r="I248">
        <f t="shared" si="28"/>
        <v>3173.6426091802768</v>
      </c>
      <c r="J248">
        <f t="shared" si="29"/>
        <v>677.68516277982496</v>
      </c>
      <c r="K248">
        <f t="shared" si="30"/>
        <v>-0.42483722017504988</v>
      </c>
      <c r="L248">
        <f t="shared" si="31"/>
        <v>0.18048666364606381</v>
      </c>
    </row>
    <row r="249" spans="1:12" x14ac:dyDescent="0.25">
      <c r="A249" s="2">
        <v>42412</v>
      </c>
      <c r="B249">
        <v>690.26</v>
      </c>
      <c r="C249">
        <v>682.4</v>
      </c>
      <c r="D249" s="2"/>
      <c r="E249">
        <f t="shared" si="24"/>
        <v>2168.1779015676848</v>
      </c>
      <c r="F249">
        <f t="shared" si="25"/>
        <v>3154.9127245243421</v>
      </c>
      <c r="G249">
        <f t="shared" si="26"/>
        <v>3978.8209686052237</v>
      </c>
      <c r="H249">
        <f t="shared" si="27"/>
        <v>3865.1576328806773</v>
      </c>
      <c r="I249">
        <f t="shared" si="28"/>
        <v>3137.400046717562</v>
      </c>
      <c r="J249">
        <f t="shared" si="29"/>
        <v>673.30391002136082</v>
      </c>
      <c r="K249">
        <f t="shared" si="30"/>
        <v>-10.816089978639184</v>
      </c>
      <c r="L249">
        <f t="shared" si="31"/>
        <v>116.98780242601897</v>
      </c>
    </row>
    <row r="250" spans="1:12" x14ac:dyDescent="0.25">
      <c r="D250" s="2"/>
      <c r="E250">
        <f t="shared" si="24"/>
        <v>2201.7833068357727</v>
      </c>
      <c r="F250">
        <f t="shared" si="25"/>
        <v>3194.1247449344032</v>
      </c>
      <c r="G250">
        <f t="shared" si="26"/>
        <v>3993.9388608619165</v>
      </c>
      <c r="H250">
        <f t="shared" si="27"/>
        <v>3869.962164034117</v>
      </c>
      <c r="I250">
        <f t="shared" si="28"/>
        <v>3169.8445532413016</v>
      </c>
      <c r="J250">
        <f t="shared" si="29"/>
        <v>683.1002805719495</v>
      </c>
      <c r="K250">
        <f t="shared" si="30"/>
        <v>-9.7194280505163988E-3</v>
      </c>
      <c r="L250">
        <f t="shared" si="31"/>
        <v>9.4467281629165005E-5</v>
      </c>
    </row>
    <row r="251" spans="1:12" x14ac:dyDescent="0.25">
      <c r="D251" s="2"/>
      <c r="E251">
        <f t="shared" si="24"/>
        <v>2180.2569158546862</v>
      </c>
      <c r="F251">
        <f t="shared" si="25"/>
        <v>3176.3000590831994</v>
      </c>
      <c r="G251">
        <f t="shared" si="26"/>
        <v>3979.670635251689</v>
      </c>
      <c r="H251">
        <f t="shared" si="27"/>
        <v>3856.3183833689932</v>
      </c>
      <c r="I251">
        <f t="shared" si="28"/>
        <v>3152.3709490383421</v>
      </c>
      <c r="J251">
        <f t="shared" si="29"/>
        <v>677.08641010784095</v>
      </c>
      <c r="K251">
        <f t="shared" si="30"/>
        <v>-5.3135898921590297</v>
      </c>
      <c r="L251">
        <f t="shared" si="31"/>
        <v>28.234237542054608</v>
      </c>
    </row>
    <row r="252" spans="1:12" ht="45" x14ac:dyDescent="0.25">
      <c r="A252" s="24" t="s">
        <v>36</v>
      </c>
      <c r="B252">
        <v>687.23999585916852</v>
      </c>
      <c r="D252" s="2"/>
      <c r="E252">
        <f t="shared" si="24"/>
        <v>2214.7684893789087</v>
      </c>
      <c r="F252">
        <f t="shared" si="25"/>
        <v>3214.2760152146539</v>
      </c>
      <c r="G252">
        <f t="shared" si="26"/>
        <v>3996.7006934767924</v>
      </c>
      <c r="H252">
        <f t="shared" si="27"/>
        <v>3893.5071503363288</v>
      </c>
      <c r="I252">
        <f t="shared" si="28"/>
        <v>3192.164606973357</v>
      </c>
      <c r="J252">
        <f t="shared" si="29"/>
        <v>687.23999585916852</v>
      </c>
      <c r="K252">
        <f t="shared" si="30"/>
        <v>687.23999585916852</v>
      </c>
    </row>
  </sheetData>
  <sortState ref="A2:C2">
    <sortCondition ref="A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Data">
                <anchor moveWithCells="1" sizeWithCells="1">
                  <from>
                    <xdr:col>12</xdr:col>
                    <xdr:colOff>400050</xdr:colOff>
                    <xdr:row>7</xdr:row>
                    <xdr:rowOff>114300</xdr:rowOff>
                  </from>
                  <to>
                    <xdr:col>15</xdr:col>
                    <xdr:colOff>504825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ain">
                <anchor moveWithCells="1" sizeWithCells="1">
                  <from>
                    <xdr:col>12</xdr:col>
                    <xdr:colOff>381000</xdr:colOff>
                    <xdr:row>2</xdr:row>
                    <xdr:rowOff>85725</xdr:rowOff>
                  </from>
                  <to>
                    <xdr:col>15</xdr:col>
                    <xdr:colOff>485775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MinSumOfSqaures">
                <anchor moveWithCells="1" sizeWithCells="1">
                  <from>
                    <xdr:col>12</xdr:col>
                    <xdr:colOff>390525</xdr:colOff>
                    <xdr:row>13</xdr:row>
                    <xdr:rowOff>9525</xdr:rowOff>
                  </from>
                  <to>
                    <xdr:col>15</xdr:col>
                    <xdr:colOff>495300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MinofMaxDiff">
                <anchor moveWithCells="1" sizeWithCells="1">
                  <from>
                    <xdr:col>12</xdr:col>
                    <xdr:colOff>381000</xdr:colOff>
                    <xdr:row>18</xdr:row>
                    <xdr:rowOff>123825</xdr:rowOff>
                  </from>
                  <to>
                    <xdr:col>15</xdr:col>
                    <xdr:colOff>485775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88</vt:i4>
      </vt:variant>
    </vt:vector>
  </HeadingPairs>
  <TitlesOfParts>
    <vt:vector size="90" baseType="lpstr">
      <vt:lpstr>User Preferences</vt:lpstr>
      <vt:lpstr>HistoricalData</vt:lpstr>
      <vt:lpstr>HistoricalData!AAPL</vt:lpstr>
      <vt:lpstr>HistoricalData!aapl_1</vt:lpstr>
      <vt:lpstr>HistoricalData!aapl_10</vt:lpstr>
      <vt:lpstr>HistoricalData!aapl_11</vt:lpstr>
      <vt:lpstr>HistoricalData!aapl_12</vt:lpstr>
      <vt:lpstr>HistoricalData!aapl_13</vt:lpstr>
      <vt:lpstr>HistoricalData!aapl_14</vt:lpstr>
      <vt:lpstr>HistoricalData!aapl_15</vt:lpstr>
      <vt:lpstr>HistoricalData!aapl_16</vt:lpstr>
      <vt:lpstr>HistoricalData!aapl_17</vt:lpstr>
      <vt:lpstr>HistoricalData!aapl_2</vt:lpstr>
      <vt:lpstr>HistoricalData!aapl_3</vt:lpstr>
      <vt:lpstr>HistoricalData!aapl_4</vt:lpstr>
      <vt:lpstr>HistoricalData!aapl_5</vt:lpstr>
      <vt:lpstr>HistoricalData!aapl_6</vt:lpstr>
      <vt:lpstr>HistoricalData!aapl_7</vt:lpstr>
      <vt:lpstr>HistoricalData!aapl_8</vt:lpstr>
      <vt:lpstr>HistoricalData!aapl_9</vt:lpstr>
      <vt:lpstr>HistoricalData!GOOG</vt:lpstr>
      <vt:lpstr>HistoricalData!GOOG_1</vt:lpstr>
      <vt:lpstr>HistoricalData!GOOG_10</vt:lpstr>
      <vt:lpstr>HistoricalData!GOOG_11</vt:lpstr>
      <vt:lpstr>HistoricalData!goog_12</vt:lpstr>
      <vt:lpstr>HistoricalData!GOOG_2</vt:lpstr>
      <vt:lpstr>HistoricalData!GOOG_3</vt:lpstr>
      <vt:lpstr>HistoricalData!GOOG_4</vt:lpstr>
      <vt:lpstr>HistoricalData!GOOG_5</vt:lpstr>
      <vt:lpstr>HistoricalData!GOOG_6</vt:lpstr>
      <vt:lpstr>HistoricalData!GOOG_7</vt:lpstr>
      <vt:lpstr>HistoricalData!GOOG_8</vt:lpstr>
      <vt:lpstr>HistoricalData!GOOG_9</vt:lpstr>
      <vt:lpstr>HistoricalData!historical?q_NASDAQ_3AYhoo_start_123_num_30</vt:lpstr>
      <vt:lpstr>HistoricalData!historical?q_NASDAQ_3AYhoo_start_123_num_30__2</vt:lpstr>
      <vt:lpstr>HistoricalData!historical?q_NASDAQ_3AYhoo_start_123_num_30__3</vt:lpstr>
      <vt:lpstr>HistoricalData!historical?q_NASDAQ_3AYhoo_start_123_num_30__4</vt:lpstr>
      <vt:lpstr>HistoricalData!historical?q_NASDAQ_3AYhoo_start_123_num_30__5</vt:lpstr>
      <vt:lpstr>HistoricalData!historical?q_NASDAQ_3AYhoo_start_154_num_30</vt:lpstr>
      <vt:lpstr>HistoricalData!historical?q_NASDAQ_3AYhoo_start_154_num_30__2</vt:lpstr>
      <vt:lpstr>HistoricalData!historical?q_NASDAQ_3AYhoo_start_154_num_30__3</vt:lpstr>
      <vt:lpstr>HistoricalData!historical?q_NASDAQ_3AYhoo_start_154_num_30__4</vt:lpstr>
      <vt:lpstr>HistoricalData!historical?q_NASDAQ_3AYhoo_start_154_num_30__5</vt:lpstr>
      <vt:lpstr>HistoricalData!historical?q_NASDAQ_3AYhoo_start_185_num_30</vt:lpstr>
      <vt:lpstr>HistoricalData!historical?q_NASDAQ_3AYhoo_start_185_num_30__2</vt:lpstr>
      <vt:lpstr>HistoricalData!historical?q_NASDAQ_3AYhoo_start_185_num_30__3</vt:lpstr>
      <vt:lpstr>HistoricalData!historical?q_NASDAQ_3AYhoo_start_185_num_30__4</vt:lpstr>
      <vt:lpstr>HistoricalData!historical?q_NASDAQ_3AYhoo_start_185_num_30__5</vt:lpstr>
      <vt:lpstr>HistoricalData!historical?q_NASDAQ_3AYhoo_start_216_num_30</vt:lpstr>
      <vt:lpstr>HistoricalData!historical?q_NASDAQ_3AYhoo_start_216_num_30__2</vt:lpstr>
      <vt:lpstr>HistoricalData!historical?q_NASDAQ_3AYhoo_start_216_num_30__3</vt:lpstr>
      <vt:lpstr>HistoricalData!historical?q_NASDAQ_3AYhoo_start_216_num_30__4</vt:lpstr>
      <vt:lpstr>HistoricalData!historical?q_NASDAQ_3AYhoo_start_216_num_30__5</vt:lpstr>
      <vt:lpstr>HistoricalData!historical?q_NASDAQ_3AYhoo_start_247_num_30</vt:lpstr>
      <vt:lpstr>HistoricalData!historical?q_NASDAQ_3AYhoo_start_247_num_30__2</vt:lpstr>
      <vt:lpstr>HistoricalData!historical?q_NASDAQ_3AYhoo_start_247_num_30__3</vt:lpstr>
      <vt:lpstr>HistoricalData!historical?q_NASDAQ_3AYhoo_start_247_num_30__4</vt:lpstr>
      <vt:lpstr>HistoricalData!historical?q_NASDAQ_3AYhoo_start_247_num_30__5</vt:lpstr>
      <vt:lpstr>HistoricalData!historical?q_NASDAQ_3AYhoo_start_278_num_30</vt:lpstr>
      <vt:lpstr>HistoricalData!historical?q_NASDAQ_3AYhoo_start_278_num_30__1</vt:lpstr>
      <vt:lpstr>HistoricalData!historical?q_NASDAQ_3AYhoo_start_278_num_30__2</vt:lpstr>
      <vt:lpstr>HistoricalData!historical?q_NASDAQ_3AYhoo_start_278_num_30__3</vt:lpstr>
      <vt:lpstr>HistoricalData!historical?q_NASDAQ_3AYhoo_start_278_num_30__4</vt:lpstr>
      <vt:lpstr>HistoricalData!historical?q_NASDAQ_3AYhoo_start_278_num_30__5</vt:lpstr>
      <vt:lpstr>HistoricalData!historical?q_NASDAQ_3AYhoo_start_30_num_30</vt:lpstr>
      <vt:lpstr>HistoricalData!historical?q_NASDAQ_3AYhoo_start_30_num_30__2</vt:lpstr>
      <vt:lpstr>HistoricalData!historical?q_NASDAQ_3AYhoo_start_30_num_30__3</vt:lpstr>
      <vt:lpstr>HistoricalData!historical?q_NASDAQ_3AYhoo_start_30_num_30__4</vt:lpstr>
      <vt:lpstr>HistoricalData!historical?q_NASDAQ_3AYhoo_start_30_num_30__5</vt:lpstr>
      <vt:lpstr>HistoricalData!historical?q_NASDAQ_3AYhoo_start_61_num_30</vt:lpstr>
      <vt:lpstr>HistoricalData!historical?q_NASDAQ_3AYhoo_start_61_num_30__2</vt:lpstr>
      <vt:lpstr>HistoricalData!historical?q_NASDAQ_3AYhoo_start_61_num_30__3</vt:lpstr>
      <vt:lpstr>HistoricalData!historical?q_NASDAQ_3AYhoo_start_61_num_30__4</vt:lpstr>
      <vt:lpstr>HistoricalData!historical?q_NASDAQ_3AYhoo_start_61_num_30__5</vt:lpstr>
      <vt:lpstr>HistoricalData!historical?q_NASDAQ_3AYhoo_start_92_num_30</vt:lpstr>
      <vt:lpstr>HistoricalData!historical?q_NASDAQ_3AYhoo_start_92_num_30__2</vt:lpstr>
      <vt:lpstr>HistoricalData!historical?q_NASDAQ_3AYhoo_start_92_num_30__3</vt:lpstr>
      <vt:lpstr>HistoricalData!historical?q_NASDAQ_3AYhoo_start_92_num_30__4</vt:lpstr>
      <vt:lpstr>HistoricalData!historical?q_NASDAQ_3AYhoo_start_92_num_30__5</vt:lpstr>
      <vt:lpstr>HistoricalData!Yhoo</vt:lpstr>
      <vt:lpstr>HistoricalData!YHOO_10</vt:lpstr>
      <vt:lpstr>HistoricalData!YHOO_11</vt:lpstr>
      <vt:lpstr>HistoricalData!Yhoo_2</vt:lpstr>
      <vt:lpstr>HistoricalData!Yhoo_3</vt:lpstr>
      <vt:lpstr>HistoricalData!Yhoo_4</vt:lpstr>
      <vt:lpstr>HistoricalData!Yhoo_5</vt:lpstr>
      <vt:lpstr>HistoricalData!yhoo_6</vt:lpstr>
      <vt:lpstr>HistoricalData!Yhoo_7</vt:lpstr>
      <vt:lpstr>HistoricalData!YHOO_8</vt:lpstr>
      <vt:lpstr>HistoricalData!YHOO_9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Kan, Johnson</dc:creator>
  <cp:lastModifiedBy>Kan, Johnson</cp:lastModifiedBy>
  <dcterms:created xsi:type="dcterms:W3CDTF">2016-01-07T01:25:08Z</dcterms:created>
  <dcterms:modified xsi:type="dcterms:W3CDTF">2016-02-21T01:42:20Z</dcterms:modified>
</cp:coreProperties>
</file>